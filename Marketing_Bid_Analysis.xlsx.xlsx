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Worksheet 1" sheetId="2" r:id="rId6"/>
    <sheet state="visible" name="Worksheet 2" sheetId="3" r:id="rId7"/>
    <sheet state="visible" name="Pivot Table 2" sheetId="4" r:id="rId8"/>
    <sheet state="visible" name="Worksheet 3" sheetId="5" r:id="rId9"/>
    <sheet state="hidden" name="Instruction" sheetId="6" r:id="rId10"/>
  </sheets>
  <definedNames>
    <definedName name="ItemList">'Worksheet 2'!$F:$F</definedName>
  </definedNames>
  <calcPr/>
  <pivotCaches>
    <pivotCache cacheId="0" r:id="rId11"/>
  </pivotCaches>
</workbook>
</file>

<file path=xl/sharedStrings.xml><?xml version="1.0" encoding="utf-8"?>
<sst xmlns="http://schemas.openxmlformats.org/spreadsheetml/2006/main" count="236" uniqueCount="127">
  <si>
    <t>Welcome, candidates</t>
  </si>
  <si>
    <t>We recommend that you use a computer when taking this exam.</t>
  </si>
  <si>
    <r>
      <rPr>
        <rFont val="Open Sans"/>
        <color theme="1"/>
        <sz val="12.0"/>
      </rPr>
      <t>The data used on these sheets are for</t>
    </r>
    <r>
      <rPr>
        <rFont val="Open Sans"/>
        <b/>
        <color theme="1"/>
        <sz val="12.0"/>
      </rPr>
      <t xml:space="preserve"> TESTING PURPOSES ONLY</t>
    </r>
    <r>
      <rPr>
        <rFont val="Open Sans"/>
        <color theme="1"/>
        <sz val="12.0"/>
      </rPr>
      <t>.</t>
    </r>
  </si>
  <si>
    <t>This spreadsheet contains three tabs that will be used to assess your ability to complete sample</t>
  </si>
  <si>
    <t>Google Sheets / Excel tasks that we commonly perform here at Coalition Technologies.</t>
  </si>
  <si>
    <t>Please enter your name in the cell below</t>
  </si>
  <si>
    <t>Name</t>
  </si>
  <si>
    <t>Zakaria Abdi Ibrahim</t>
  </si>
  <si>
    <t xml:space="preserve">To complete this exercise in Google Sheets: </t>
  </si>
  <si>
    <t>Go to File &gt; Make a copy &gt; Complete the test &gt; Download as "Microsft Excel (.xlsx)" &gt; Upload Excel file into your skills test</t>
  </si>
  <si>
    <t>To complete this exercise in Microsoft Excel:</t>
  </si>
  <si>
    <t>Go to File &gt; Download as "Microsoft Excel (.xlsx)" &gt; Complete the test &gt; Upload Excel file into your skills test</t>
  </si>
  <si>
    <t>Below is a basic description of each tab and its contents. More detailed instructions are located on each tab.</t>
  </si>
  <si>
    <t>Worksheet 1</t>
  </si>
  <si>
    <t>This worksheet requires the use of basic cell formatting, conditional formatting, and the use of COUNTIF formulas</t>
  </si>
  <si>
    <t>Worksheet 2</t>
  </si>
  <si>
    <t>This worksheet requires the use of PIVOT tables</t>
  </si>
  <si>
    <t>Worksheet 3</t>
  </si>
  <si>
    <t>This worksheet requires the use of VLOOKUP/INDEX, LIST, and conditional formatting</t>
  </si>
  <si>
    <t>Bike Type</t>
  </si>
  <si>
    <t>Day</t>
  </si>
  <si>
    <t>Date</t>
  </si>
  <si>
    <t>Time</t>
  </si>
  <si>
    <t>Status</t>
  </si>
  <si>
    <t>Email</t>
  </si>
  <si>
    <t>Phone</t>
  </si>
  <si>
    <t>Customer 5</t>
  </si>
  <si>
    <t>Mountain bike</t>
  </si>
  <si>
    <t>COMPLETED</t>
  </si>
  <si>
    <t>sample@sample.com</t>
  </si>
  <si>
    <t>(555)-555-5555</t>
  </si>
  <si>
    <t>Customer 7</t>
  </si>
  <si>
    <t xml:space="preserve">Road bike </t>
  </si>
  <si>
    <t>Customer 13</t>
  </si>
  <si>
    <t>CONFIRMED</t>
  </si>
  <si>
    <t>Customer 3</t>
  </si>
  <si>
    <t>Gravel bike</t>
  </si>
  <si>
    <t>Customer 15</t>
  </si>
  <si>
    <t>Customer 10</t>
  </si>
  <si>
    <t>Customer 6</t>
  </si>
  <si>
    <t>Customer 19</t>
  </si>
  <si>
    <t>Customer 9</t>
  </si>
  <si>
    <t>Customer 14</t>
  </si>
  <si>
    <t>Customer 11</t>
  </si>
  <si>
    <t>Customer 1</t>
  </si>
  <si>
    <t>Customer 4</t>
  </si>
  <si>
    <t>Customer 17</t>
  </si>
  <si>
    <t>Customer 8</t>
  </si>
  <si>
    <t>Customer 16</t>
  </si>
  <si>
    <t>Customer 2</t>
  </si>
  <si>
    <t>Customer 18</t>
  </si>
  <si>
    <t>Customer 12</t>
  </si>
  <si>
    <t>Count</t>
  </si>
  <si>
    <t>Utilization Total</t>
  </si>
  <si>
    <t xml:space="preserve">This is a datasheet for bike utilization monitoring. </t>
  </si>
  <si>
    <t>INSTRUCTIONS: Format Row 1</t>
  </si>
  <si>
    <t>Create a filter that will sort the Bike Types in column B.</t>
  </si>
  <si>
    <t>INSTRUCTIONS: Set up conditional formatting</t>
  </si>
  <si>
    <t>Set up conditional formatting so that the "Status" column (column F) shows:</t>
  </si>
  <si>
    <t>Yellow for "CONFIRMED" and Green for "COMPLETED"</t>
  </si>
  <si>
    <t>INSTRUCTIONS: Create a formula to fill in the missing data in cells D25 to D27</t>
  </si>
  <si>
    <t>Use the COUNTIF formula in cells D25 &amp; D26</t>
  </si>
  <si>
    <t>Use SUM for the Utilization Total</t>
  </si>
  <si>
    <t>Pivot Table</t>
  </si>
  <si>
    <t>Table A</t>
  </si>
  <si>
    <t>Project Category</t>
  </si>
  <si>
    <t>Bid Amount</t>
  </si>
  <si>
    <t>Won or Lost</t>
  </si>
  <si>
    <t>Budget Tier</t>
  </si>
  <si>
    <t>Potential Revenue</t>
  </si>
  <si>
    <t>MKTG ONLY</t>
  </si>
  <si>
    <t>Won</t>
  </si>
  <si>
    <t>$5,000 to $10,000</t>
  </si>
  <si>
    <t>$10,000 to $15,000</t>
  </si>
  <si>
    <t>WEB ONLY</t>
  </si>
  <si>
    <t>Lost</t>
  </si>
  <si>
    <t>$15,000 to $20,000</t>
  </si>
  <si>
    <t>Above $20,000</t>
  </si>
  <si>
    <t>MKTG + WEB</t>
  </si>
  <si>
    <t>Below $5,000</t>
  </si>
  <si>
    <t>This is a list of the marketing bids that we have placed for the services we offer.</t>
  </si>
  <si>
    <t>MKTG ONLY - Marketing bids only</t>
  </si>
  <si>
    <t xml:space="preserve">MKTG + WEB - Marketing and Web bids </t>
  </si>
  <si>
    <t>WEB - Web bids only</t>
  </si>
  <si>
    <t xml:space="preserve">INSTRUCTIONS: Build onto Pivot Table in cell A3.  </t>
  </si>
  <si>
    <t xml:space="preserve">Display the Project Category and Potential Revenue.  </t>
  </si>
  <si>
    <t>Show the winning Bid Amount per Project Category.</t>
  </si>
  <si>
    <t>SUM of Potential Revenue</t>
  </si>
  <si>
    <t>SUM of Bid Amount</t>
  </si>
  <si>
    <t>Grand Total</t>
  </si>
  <si>
    <t>INSTRUCTIONS: Insert Data Validation - Dropdown list, in cell B3-B9</t>
  </si>
  <si>
    <t>Create a "List of items" referencing the Bid Amount from Worksheet 2.</t>
  </si>
  <si>
    <t>INSTRUCTIONS: Create a VLOOKUP formula to display Potential Revenue in cell C3</t>
  </si>
  <si>
    <t>Using data from "Worksheet 2", create a formula in cell C3 that will display the Potential Revenue</t>
  </si>
  <si>
    <t xml:space="preserve">according to the Bid Amount in cell B3. </t>
  </si>
  <si>
    <t>INSTRUCTIONS: Create a VLOOKUP formula to display Status in cell D3</t>
  </si>
  <si>
    <t>Using data from "Worksheet 2", create a formula in cell D3 that will display the Won/Lost Status</t>
  </si>
  <si>
    <t>INSTRUCTIONS: Conditional Formatting</t>
  </si>
  <si>
    <t>Use conditional formatting to fill the row with "Lost" status, in gray.</t>
  </si>
  <si>
    <t>Formula = Apply to range columns B3 to D9</t>
  </si>
  <si>
    <t>Freeze and Bold Row 1</t>
  </si>
  <si>
    <t>Set up conditional formatting so that the "Status" column (column G) shows:</t>
  </si>
  <si>
    <t>Yellow for "Confirmed"</t>
  </si>
  <si>
    <t>Green for "Completed"</t>
  </si>
  <si>
    <t>INSTRUCTIONS: Create a formula to fill in the missing data in cells D10 &amp; D11</t>
  </si>
  <si>
    <t>Using the COUNTIF formula in cells D10 &amp; D11</t>
  </si>
  <si>
    <t>count the number of times each status is used in column G</t>
  </si>
  <si>
    <t>Bonus</t>
  </si>
  <si>
    <t>INSTRUCTIONS: Conditional format the range a2:i7</t>
  </si>
  <si>
    <t>Set up conditional formatting that differentiates "CONFIRMED" and "COMPLETED"</t>
  </si>
  <si>
    <t>status and will highlight the entire row of the table</t>
  </si>
  <si>
    <t>E.g. When G2 is "CONFIRMED," A2:I2 is highlighted yellow.</t>
  </si>
  <si>
    <t>INSTRUCTIONS: Enter data validation in cells C4:C9</t>
  </si>
  <si>
    <t>Create data validation in cells C4:C9 (Table A)</t>
  </si>
  <si>
    <t>so that only numbers between 4:00 and 8:00 display as valid</t>
  </si>
  <si>
    <t>INSTRUCTIONS: Set up an IFS formula in E4:E9</t>
  </si>
  <si>
    <t>Setup an IFS formula so that E4:E9 (Table A) displays the "Cost to Rent"</t>
  </si>
  <si>
    <t xml:space="preserve">for each robot based on the "Cost Per Hour" (Table B). </t>
  </si>
  <si>
    <t>INSTRUCTIONS: Create a formula to fill in the missing data in cells K11:K12</t>
  </si>
  <si>
    <t>Create a formula with VLOOKUP to calculate the comission percentage</t>
  </si>
  <si>
    <t>for Robot 1 and 2. Your formula should refer to Table C.</t>
  </si>
  <si>
    <t>INSTRUCTIONS: Build onto Pivot Table A</t>
  </si>
  <si>
    <t>Display the "Hours Rented" row and show totals</t>
  </si>
  <si>
    <t>Display the SUM of "Cost to Rent" value with a Grand Total</t>
  </si>
  <si>
    <t>INSTRUCTIONS: Edit the date format in G4:G14</t>
  </si>
  <si>
    <t>Using the date format tool, change the dates in G4:G14 to display as mm/dd/yyyy</t>
  </si>
  <si>
    <t>E.g. 01/01/2030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</si>
</sst>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dd"/>
    <numFmt numFmtId="165" formatCode="m&quot;/&quot;d&quot;/&quot;yyyy"/>
    <numFmt numFmtId="166" formatCode="h&quot;:&quot;mm&quot; &quot;AM/PM"/>
    <numFmt numFmtId="167" formatCode="&quot;$&quot;#,##0.00"/>
    <numFmt numFmtId="168" formatCode="&quot;$&quot;#,##0"/>
    <numFmt numFmtId="169" formatCode="[h]:mm"/>
  </numFmts>
  <fonts count="26">
    <font>
      <sz val="10.0"/>
      <color rgb="FF000000"/>
      <name val="Arial"/>
      <scheme val="minor"/>
    </font>
    <font>
      <b/>
      <sz val="14.0"/>
      <color theme="1"/>
      <name val="Open Sans"/>
    </font>
    <font>
      <sz val="36.0"/>
      <color theme="1"/>
      <name val="Open Sans"/>
    </font>
    <font>
      <sz val="12.0"/>
      <color theme="1"/>
      <name val="Open Sans"/>
    </font>
    <font>
      <sz val="12.0"/>
      <color rgb="FF000000"/>
      <name val="Open Sans"/>
    </font>
    <font>
      <sz val="12.0"/>
      <color rgb="FFB7DA35"/>
      <name val="Open Sans"/>
    </font>
    <font/>
    <font>
      <b/>
      <sz val="12.0"/>
      <color rgb="FFB7DA35"/>
      <name val="Open Sans"/>
    </font>
    <font>
      <sz val="12.0"/>
      <color rgb="FFFFFFFF"/>
      <name val="Open Sans"/>
    </font>
    <font>
      <sz val="12.0"/>
      <color rgb="FFFCB121"/>
      <name val="Open Sans"/>
    </font>
    <font>
      <b/>
      <sz val="12.0"/>
      <color rgb="FFFCB121"/>
      <name val="Open Sans"/>
    </font>
    <font>
      <b/>
      <sz val="12.0"/>
      <color theme="1"/>
      <name val="Open Sans"/>
    </font>
    <font>
      <b/>
      <sz val="10.0"/>
      <color theme="1"/>
      <name val="Open Sans"/>
    </font>
    <font>
      <sz val="10.0"/>
      <color theme="1"/>
      <name val="Open Sans"/>
    </font>
    <font>
      <sz val="10.0"/>
      <color rgb="FF000000"/>
      <name val="Open Sans"/>
    </font>
    <font>
      <sz val="10.0"/>
      <color theme="1"/>
      <name val="Arial"/>
    </font>
    <font>
      <sz val="10.0"/>
      <color rgb="FFFFFFFF"/>
      <name val="Open Sans"/>
    </font>
    <font>
      <b/>
      <sz val="10.0"/>
      <color rgb="FF000000"/>
      <name val="Open Sans"/>
    </font>
    <font>
      <sz val="24.0"/>
      <color rgb="FFB7DA35"/>
      <name val="Open Sans"/>
    </font>
    <font>
      <b/>
      <sz val="10.0"/>
      <color rgb="FFFCB121"/>
      <name val="Open Sans"/>
    </font>
    <font>
      <sz val="10.0"/>
      <color rgb="FF000000"/>
      <name val="Arial"/>
    </font>
    <font>
      <i/>
      <sz val="10.0"/>
      <color theme="1"/>
      <name val="Open Sans"/>
    </font>
    <font>
      <b/>
      <sz val="10.0"/>
      <color rgb="FFFFFFFF"/>
      <name val="Open Sans"/>
    </font>
    <font>
      <b/>
      <i/>
      <sz val="10.0"/>
      <color theme="1"/>
      <name val="Arial"/>
    </font>
    <font>
      <color theme="1"/>
      <name val="Arial"/>
      <scheme val="minor"/>
    </font>
    <font>
      <sz val="12.0"/>
      <color rgb="FFAEAEAE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6AAC"/>
        <bgColor rgb="FF006AAC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80AFB3"/>
        <bgColor rgb="FF80AFB3"/>
      </patternFill>
    </fill>
    <fill>
      <patternFill patternType="solid">
        <fgColor rgb="FFDFEBEC"/>
        <bgColor rgb="FFDFEBEC"/>
      </patternFill>
    </fill>
  </fills>
  <borders count="26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</border>
    <border>
      <left/>
      <right style="thin">
        <color rgb="FF000000"/>
      </right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left" shrinkToFit="0" vertical="center" wrapText="1"/>
    </xf>
    <xf borderId="1" fillId="2" fontId="4" numFmtId="0" xfId="0" applyAlignment="1" applyBorder="1" applyFill="1" applyFont="1">
      <alignment horizontal="left"/>
    </xf>
    <xf borderId="2" fillId="3" fontId="5" numFmtId="0" xfId="0" applyAlignment="1" applyBorder="1" applyFill="1" applyFont="1">
      <alignment horizontal="center" vertical="center"/>
    </xf>
    <xf borderId="3" fillId="0" fontId="6" numFmtId="0" xfId="0" applyBorder="1" applyFont="1"/>
    <xf borderId="4" fillId="0" fontId="6" numFmtId="0" xfId="0" applyBorder="1" applyFont="1"/>
    <xf borderId="0" fillId="0" fontId="5" numFmtId="0" xfId="0" applyAlignment="1" applyFont="1">
      <alignment horizontal="left" vertical="center"/>
    </xf>
    <xf borderId="1" fillId="3" fontId="7" numFmtId="0" xfId="0" applyAlignment="1" applyBorder="1" applyFont="1">
      <alignment horizontal="center" vertical="center"/>
    </xf>
    <xf borderId="5" fillId="3" fontId="8" numFmtId="0" xfId="0" applyAlignment="1" applyBorder="1" applyFont="1">
      <alignment horizontal="center" readingOrder="0" vertical="center"/>
    </xf>
    <xf borderId="6" fillId="0" fontId="6" numFmtId="0" xfId="0" applyBorder="1" applyFont="1"/>
    <xf borderId="7" fillId="0" fontId="6" numFmtId="0" xfId="0" applyBorder="1" applyFont="1"/>
    <xf borderId="0" fillId="0" fontId="8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9" numFmtId="0" xfId="0" applyAlignment="1" applyFont="1">
      <alignment horizontal="left" vertical="center"/>
    </xf>
    <xf borderId="0" fillId="0" fontId="10" numFmtId="0" xfId="0" applyAlignment="1" applyFont="1">
      <alignment horizontal="left"/>
    </xf>
    <xf borderId="0" fillId="0" fontId="9" numFmtId="0" xfId="0" applyAlignment="1" applyFont="1">
      <alignment horizontal="left" shrinkToFit="0" vertical="center" wrapText="1"/>
    </xf>
    <xf borderId="1" fillId="3" fontId="11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2" fillId="3" fontId="8" numFmtId="0" xfId="0" applyAlignment="1" applyBorder="1" applyFont="1">
      <alignment horizontal="left" vertical="center"/>
    </xf>
    <xf borderId="1" fillId="3" fontId="3" numFmtId="0" xfId="0" applyAlignment="1" applyBorder="1" applyFont="1">
      <alignment horizontal="left" vertical="center"/>
    </xf>
    <xf borderId="1" fillId="3" fontId="7" numFmtId="0" xfId="0" applyAlignment="1" applyBorder="1" applyFont="1">
      <alignment horizontal="left" vertical="center"/>
    </xf>
    <xf borderId="8" fillId="0" fontId="12" numFmtId="0" xfId="0" applyAlignment="1" applyBorder="1" applyFont="1">
      <alignment horizontal="center" vertical="center"/>
    </xf>
    <xf borderId="8" fillId="0" fontId="13" numFmtId="0" xfId="0" applyAlignment="1" applyBorder="1" applyFont="1">
      <alignment horizontal="center" vertical="center"/>
    </xf>
    <xf borderId="8" fillId="0" fontId="14" numFmtId="0" xfId="0" applyAlignment="1" applyBorder="1" applyFont="1">
      <alignment horizontal="center" vertical="center"/>
    </xf>
    <xf borderId="8" fillId="0" fontId="15" numFmtId="0" xfId="0" applyAlignment="1" applyBorder="1" applyFont="1">
      <alignment horizontal="center"/>
    </xf>
    <xf borderId="0" fillId="0" fontId="16" numFmtId="0" xfId="0" applyAlignment="1" applyFont="1">
      <alignment shrinkToFit="0" vertical="center" wrapText="1"/>
    </xf>
    <xf borderId="8" fillId="0" fontId="13" numFmtId="0" xfId="0" applyAlignment="1" applyBorder="1" applyFont="1">
      <alignment vertical="center"/>
    </xf>
    <xf borderId="8" fillId="0" fontId="14" numFmtId="164" xfId="0" applyAlignment="1" applyBorder="1" applyFont="1" applyNumberFormat="1">
      <alignment horizontal="center" vertical="center"/>
    </xf>
    <xf borderId="8" fillId="0" fontId="14" numFmtId="165" xfId="0" applyAlignment="1" applyBorder="1" applyFont="1" applyNumberFormat="1">
      <alignment horizontal="center" vertical="center"/>
    </xf>
    <xf borderId="8" fillId="0" fontId="14" numFmtId="166" xfId="0" applyAlignment="1" applyBorder="1" applyFont="1" applyNumberFormat="1">
      <alignment horizontal="center" vertical="center"/>
    </xf>
    <xf borderId="8" fillId="0" fontId="15" numFmtId="0" xfId="0" applyBorder="1" applyFont="1"/>
    <xf borderId="9" fillId="0" fontId="13" numFmtId="0" xfId="0" applyAlignment="1" applyBorder="1" applyFont="1">
      <alignment vertical="center"/>
    </xf>
    <xf borderId="0" fillId="0" fontId="14" numFmtId="0" xfId="0" applyAlignment="1" applyFont="1">
      <alignment horizontal="center" vertical="center"/>
    </xf>
    <xf borderId="0" fillId="0" fontId="14" numFmtId="0" xfId="0" applyAlignment="1" applyFont="1">
      <alignment horizontal="left" vertical="center"/>
    </xf>
    <xf borderId="0" fillId="0" fontId="13" numFmtId="0" xfId="0" applyAlignment="1" applyFont="1">
      <alignment vertical="center"/>
    </xf>
    <xf borderId="10" fillId="0" fontId="13" numFmtId="0" xfId="0" applyAlignment="1" applyBorder="1" applyFont="1">
      <alignment vertical="center"/>
    </xf>
    <xf borderId="8" fillId="0" fontId="17" numFmtId="0" xfId="0" applyAlignment="1" applyBorder="1" applyFont="1">
      <alignment horizontal="center" vertical="center"/>
    </xf>
    <xf borderId="8" fillId="4" fontId="14" numFmtId="0" xfId="0" applyAlignment="1" applyBorder="1" applyFill="1" applyFont="1">
      <alignment horizontal="center" vertical="center"/>
    </xf>
    <xf borderId="8" fillId="0" fontId="14" numFmtId="0" xfId="0" applyAlignment="1" applyBorder="1" applyFont="1">
      <alignment horizontal="left" vertical="center"/>
    </xf>
    <xf borderId="8" fillId="5" fontId="14" numFmtId="0" xfId="0" applyAlignment="1" applyBorder="1" applyFill="1" applyFont="1">
      <alignment horizontal="center" vertical="center"/>
    </xf>
    <xf borderId="8" fillId="0" fontId="13" numFmtId="0" xfId="0" applyAlignment="1" applyBorder="1" applyFont="1">
      <alignment horizontal="left"/>
    </xf>
    <xf borderId="9" fillId="0" fontId="15" numFmtId="0" xfId="0" applyBorder="1" applyFont="1"/>
    <xf borderId="10" fillId="0" fontId="15" numFmtId="0" xfId="0" applyBorder="1" applyFont="1"/>
    <xf borderId="0" fillId="0" fontId="14" numFmtId="0" xfId="0" applyAlignment="1" applyFont="1">
      <alignment vertical="center"/>
    </xf>
    <xf borderId="11" fillId="3" fontId="18" numFmtId="0" xfId="0" applyAlignment="1" applyBorder="1" applyFont="1">
      <alignment horizontal="center" vertical="center"/>
    </xf>
    <xf borderId="12" fillId="3" fontId="19" numFmtId="0" xfId="0" applyAlignment="1" applyBorder="1" applyFont="1">
      <alignment horizontal="left" vertical="center"/>
    </xf>
    <xf borderId="13" fillId="0" fontId="6" numFmtId="0" xfId="0" applyBorder="1" applyFont="1"/>
    <xf borderId="14" fillId="0" fontId="6" numFmtId="0" xfId="0" applyBorder="1" applyFont="1"/>
    <xf borderId="15" fillId="0" fontId="6" numFmtId="0" xfId="0" applyBorder="1" applyFont="1"/>
    <xf borderId="2" fillId="3" fontId="16" numFmtId="0" xfId="0" applyAlignment="1" applyBorder="1" applyFont="1">
      <alignment horizontal="left" vertical="center"/>
    </xf>
    <xf borderId="1" fillId="3" fontId="15" numFmtId="0" xfId="0" applyBorder="1" applyFont="1"/>
    <xf borderId="16" fillId="0" fontId="6" numFmtId="0" xfId="0" applyBorder="1" applyFont="1"/>
    <xf borderId="17" fillId="0" fontId="18" numFmtId="0" xfId="0" applyAlignment="1" applyBorder="1" applyFont="1">
      <alignment horizontal="center" vertical="center"/>
    </xf>
    <xf borderId="18" fillId="0" fontId="18" numFmtId="0" xfId="0" applyAlignment="1" applyBorder="1" applyFont="1">
      <alignment horizontal="center" vertical="center"/>
    </xf>
    <xf borderId="9" fillId="0" fontId="18" numFmtId="0" xfId="0" applyAlignment="1" applyBorder="1" applyFont="1">
      <alignment horizontal="center" vertical="center"/>
    </xf>
    <xf borderId="0" fillId="0" fontId="18" numFmtId="0" xfId="0" applyAlignment="1" applyFont="1">
      <alignment horizontal="center" vertical="center"/>
    </xf>
    <xf borderId="19" fillId="0" fontId="18" numFmtId="0" xfId="0" applyAlignment="1" applyBorder="1" applyFont="1">
      <alignment horizontal="center" vertical="center"/>
    </xf>
    <xf borderId="20" fillId="0" fontId="18" numFmtId="0" xfId="0" applyAlignment="1" applyBorder="1" applyFont="1">
      <alignment horizontal="center" vertical="center"/>
    </xf>
    <xf borderId="20" fillId="0" fontId="13" numFmtId="0" xfId="0" applyAlignment="1" applyBorder="1" applyFont="1">
      <alignment vertical="center"/>
    </xf>
    <xf borderId="21" fillId="0" fontId="13" numFmtId="0" xfId="0" applyAlignment="1" applyBorder="1" applyFont="1">
      <alignment vertical="center"/>
    </xf>
    <xf borderId="0" fillId="0" fontId="20" numFmtId="0" xfId="0" applyFont="1"/>
    <xf borderId="8" fillId="0" fontId="11" numFmtId="0" xfId="0" applyBorder="1" applyFont="1"/>
    <xf borderId="0" fillId="0" fontId="15" numFmtId="0" xfId="0" applyFont="1"/>
    <xf borderId="0" fillId="0" fontId="11" numFmtId="0" xfId="0" applyFont="1"/>
    <xf borderId="0" fillId="0" fontId="21" numFmtId="0" xfId="0" applyFont="1"/>
    <xf borderId="0" fillId="0" fontId="14" numFmtId="0" xfId="0" applyFont="1"/>
    <xf borderId="8" fillId="6" fontId="22" numFmtId="0" xfId="0" applyAlignment="1" applyBorder="1" applyFill="1" applyFont="1">
      <alignment horizontal="center"/>
    </xf>
    <xf borderId="8" fillId="6" fontId="22" numFmtId="0" xfId="0" applyAlignment="1" applyBorder="1" applyFont="1">
      <alignment horizontal="left"/>
    </xf>
    <xf borderId="0" fillId="0" fontId="22" numFmtId="0" xfId="0" applyAlignment="1" applyFont="1">
      <alignment horizontal="center"/>
    </xf>
    <xf borderId="0" fillId="0" fontId="13" numFmtId="4" xfId="0" applyFont="1" applyNumberFormat="1"/>
    <xf borderId="0" fillId="0" fontId="13" numFmtId="167" xfId="0" applyAlignment="1" applyFont="1" applyNumberFormat="1">
      <alignment horizontal="right"/>
    </xf>
    <xf borderId="8" fillId="2" fontId="13" numFmtId="0" xfId="0" applyBorder="1" applyFont="1"/>
    <xf borderId="8" fillId="2" fontId="13" numFmtId="167" xfId="0" applyAlignment="1" applyBorder="1" applyFont="1" applyNumberFormat="1">
      <alignment horizontal="right"/>
    </xf>
    <xf borderId="8" fillId="2" fontId="13" numFmtId="167" xfId="0" applyAlignment="1" applyBorder="1" applyFont="1" applyNumberFormat="1">
      <alignment horizontal="center"/>
    </xf>
    <xf borderId="8" fillId="2" fontId="13" numFmtId="4" xfId="0" applyBorder="1" applyFont="1" applyNumberFormat="1"/>
    <xf borderId="8" fillId="7" fontId="13" numFmtId="0" xfId="0" applyBorder="1" applyFill="1" applyFont="1"/>
    <xf borderId="8" fillId="7" fontId="13" numFmtId="167" xfId="0" applyAlignment="1" applyBorder="1" applyFont="1" applyNumberFormat="1">
      <alignment horizontal="right"/>
    </xf>
    <xf borderId="8" fillId="7" fontId="13" numFmtId="167" xfId="0" applyAlignment="1" applyBorder="1" applyFont="1" applyNumberFormat="1">
      <alignment horizontal="center"/>
    </xf>
    <xf borderId="8" fillId="7" fontId="13" numFmtId="4" xfId="0" applyBorder="1" applyFont="1" applyNumberFormat="1"/>
    <xf borderId="0" fillId="0" fontId="13" numFmtId="0" xfId="0" applyAlignment="1" applyFont="1">
      <alignment horizontal="right"/>
    </xf>
    <xf borderId="0" fillId="0" fontId="13" numFmtId="0" xfId="0" applyFont="1"/>
    <xf borderId="0" fillId="0" fontId="13" numFmtId="0" xfId="0" applyAlignment="1" applyFont="1">
      <alignment horizontal="right"/>
    </xf>
    <xf borderId="1" fillId="2" fontId="13" numFmtId="0" xfId="0" applyBorder="1" applyFont="1"/>
    <xf borderId="1" fillId="2" fontId="13" numFmtId="167" xfId="0" applyAlignment="1" applyBorder="1" applyFont="1" applyNumberFormat="1">
      <alignment horizontal="right"/>
    </xf>
    <xf borderId="1" fillId="2" fontId="13" numFmtId="167" xfId="0" applyAlignment="1" applyBorder="1" applyFont="1" applyNumberFormat="1">
      <alignment horizontal="center"/>
    </xf>
    <xf borderId="1" fillId="2" fontId="13" numFmtId="4" xfId="0" applyBorder="1" applyFont="1" applyNumberFormat="1"/>
    <xf borderId="0" fillId="0" fontId="15" numFmtId="168" xfId="0" applyFont="1" applyNumberFormat="1"/>
    <xf borderId="0" fillId="0" fontId="23" numFmtId="0" xfId="0" applyFont="1"/>
    <xf borderId="22" fillId="3" fontId="18" numFmtId="0" xfId="0" applyAlignment="1" applyBorder="1" applyFont="1">
      <alignment horizontal="center" vertical="center"/>
    </xf>
    <xf borderId="2" fillId="3" fontId="19" numFmtId="0" xfId="0" applyBorder="1" applyFont="1"/>
    <xf borderId="23" fillId="0" fontId="6" numFmtId="0" xfId="0" applyBorder="1" applyFont="1"/>
    <xf borderId="2" fillId="3" fontId="16" numFmtId="0" xfId="0" applyBorder="1" applyFont="1"/>
    <xf borderId="0" fillId="0" fontId="15" numFmtId="167" xfId="0" applyFont="1" applyNumberFormat="1"/>
    <xf borderId="24" fillId="0" fontId="6" numFmtId="0" xfId="0" applyBorder="1" applyFont="1"/>
    <xf borderId="0" fillId="0" fontId="19" numFmtId="0" xfId="0" applyFont="1"/>
    <xf borderId="0" fillId="0" fontId="16" numFmtId="0" xfId="0" applyFont="1"/>
    <xf borderId="0" fillId="0" fontId="24" numFmtId="0" xfId="0" applyFont="1"/>
    <xf borderId="0" fillId="0" fontId="24" numFmtId="167" xfId="0" applyFont="1" applyNumberFormat="1"/>
    <xf borderId="0" fillId="0" fontId="12" numFmtId="0" xfId="0" applyAlignment="1" applyFont="1">
      <alignment vertical="center"/>
    </xf>
    <xf borderId="10" fillId="0" fontId="13" numFmtId="169" xfId="0" applyAlignment="1" applyBorder="1" applyFont="1" applyNumberFormat="1">
      <alignment vertical="center"/>
    </xf>
    <xf borderId="0" fillId="0" fontId="13" numFmtId="0" xfId="0" applyAlignment="1" applyFont="1">
      <alignment shrinkToFit="0" vertical="center" wrapText="1"/>
    </xf>
    <xf borderId="10" fillId="0" fontId="12" numFmtId="169" xfId="0" applyAlignment="1" applyBorder="1" applyFont="1" applyNumberFormat="1">
      <alignment vertical="center"/>
    </xf>
    <xf borderId="8" fillId="0" fontId="13" numFmtId="167" xfId="0" applyAlignment="1" applyBorder="1" applyFont="1" applyNumberFormat="1">
      <alignment horizontal="right" vertical="center"/>
    </xf>
    <xf borderId="8" fillId="0" fontId="13" numFmtId="167" xfId="0" applyAlignment="1" applyBorder="1" applyFont="1" applyNumberFormat="1">
      <alignment vertical="center"/>
    </xf>
    <xf borderId="8" fillId="0" fontId="13" numFmtId="167" xfId="0" applyAlignment="1" applyBorder="1" applyFont="1" applyNumberFormat="1">
      <alignment horizontal="center" vertical="center"/>
    </xf>
    <xf borderId="0" fillId="2" fontId="25" numFmtId="167" xfId="0" applyAlignment="1" applyFill="1" applyFont="1" applyNumberFormat="1">
      <alignment readingOrder="0"/>
    </xf>
    <xf borderId="0" fillId="0" fontId="12" numFmtId="0" xfId="0" applyAlignment="1" applyFont="1">
      <alignment horizontal="center" vertical="center"/>
    </xf>
    <xf borderId="0" fillId="0" fontId="13" numFmtId="167" xfId="0" applyAlignment="1" applyFont="1" applyNumberFormat="1">
      <alignment vertical="center"/>
    </xf>
    <xf borderId="0" fillId="0" fontId="13" numFmtId="0" xfId="0" applyAlignment="1" applyFont="1">
      <alignment horizontal="center" vertical="center"/>
    </xf>
    <xf borderId="0" fillId="0" fontId="12" numFmtId="167" xfId="0" applyAlignment="1" applyFont="1" applyNumberFormat="1">
      <alignment horizontal="center" vertical="center"/>
    </xf>
    <xf borderId="0" fillId="0" fontId="13" numFmtId="4" xfId="0" applyAlignment="1" applyFont="1" applyNumberFormat="1">
      <alignment vertical="center"/>
    </xf>
    <xf borderId="1" fillId="3" fontId="16" numFmtId="0" xfId="0" applyAlignment="1" applyBorder="1" applyFont="1">
      <alignment horizontal="left" vertical="center"/>
    </xf>
    <xf borderId="25" fillId="3" fontId="18" numFmtId="0" xfId="0" applyAlignment="1" applyBorder="1" applyFont="1">
      <alignment horizontal="center" vertical="center"/>
    </xf>
    <xf borderId="0" fillId="0" fontId="15" numFmtId="0" xfId="0" applyAlignment="1" applyFont="1">
      <alignment shrinkToFit="0" wrapText="1"/>
    </xf>
    <xf borderId="12" fillId="3" fontId="19" numFmtId="0" xfId="0" applyBorder="1" applyFont="1"/>
  </cellXfs>
  <cellStyles count="1">
    <cellStyle xfId="0" name="Normal" builtinId="0"/>
  </cellStyles>
  <dxfs count="7"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FEBEC"/>
          <bgColor rgb="FFDFEBEC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2" pivot="0" name="Worksheet 2-style"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F3:J14" sheet="Worksheet 2"/>
  </cacheSource>
  <cacheFields>
    <cacheField name="Project Category" numFmtId="0">
      <sharedItems>
        <s v="MKTG ONLY"/>
        <s v="WEB ONLY"/>
        <s v="MKTG + WEB"/>
      </sharedItems>
    </cacheField>
    <cacheField name="Bid Amount" numFmtId="167">
      <sharedItems containsSemiMixedTypes="0" containsString="0" containsNumber="1" containsInteger="1">
        <n v="103.0"/>
        <n v="106.0"/>
        <n v="51.0"/>
        <n v="77.0"/>
        <n v="80.0"/>
        <n v="100.0"/>
        <n v="73.0"/>
        <n v="0.0"/>
        <n v="208.0"/>
      </sharedItems>
    </cacheField>
    <cacheField name="Won or Lost" numFmtId="167">
      <sharedItems>
        <s v="Won"/>
        <s v="Lost"/>
      </sharedItems>
    </cacheField>
    <cacheField name="Budget Tier" numFmtId="4">
      <sharedItems>
        <s v="$5,000 to $10,000"/>
        <s v="$10,000 to $15,000"/>
        <s v="$15,000 to $20,000"/>
        <s v="Above $20,000"/>
        <s v="Below $5,000"/>
      </sharedItems>
    </cacheField>
    <cacheField name="Potential Revenue" numFmtId="167">
      <sharedItems containsSemiMixedTypes="0" containsString="0" containsNumber="1" containsInteger="1">
        <n v="10800.0"/>
        <n v="21600.0"/>
        <n v="36764.0"/>
        <n v="26460.0"/>
        <n v="19251.0"/>
        <n v="14908.0"/>
        <n v="34375.0"/>
        <n v="38348.0"/>
        <n v="16748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2" cacheId="0" dataCaption="" compact="0" compactData="0">
  <location ref="A1:C5" firstHeaderRow="0" firstDataRow="2" firstDataCol="0"/>
  <pivotFields>
    <pivotField name="Project Category" axis="axisRow" compact="0" outline="0" multipleItemSelectionAllowed="1" showAll="0" sortType="ascending">
      <items>
        <item x="2"/>
        <item x="0"/>
        <item x="1"/>
        <item t="default"/>
      </items>
    </pivotField>
    <pivotField name="Bid Amount" dataField="1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Won or Lost" compact="0" numFmtId="167" outline="0" multipleItemSelectionAllowed="1" showAll="0">
      <items>
        <item x="0"/>
        <item x="1"/>
        <item t="default"/>
      </items>
    </pivotField>
    <pivotField name="Budget Tier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Potential Revenue" dataField="1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>
    <field x="0"/>
  </rowFields>
  <colFields>
    <field x="-2"/>
  </colFields>
  <dataFields>
    <dataField name="SUM of Potential Revenue" fld="4" baseField="0"/>
    <dataField name="SUM of Bid Amount" fld="1" baseField="0"/>
  </dataFields>
</pivotTableDefinition>
</file>

<file path=xl/tables/table1.xml><?xml version="1.0" encoding="utf-8"?>
<table xmlns="http://schemas.openxmlformats.org/spreadsheetml/2006/main" headerRowCount="0" ref="K11" displayName="Table_1" name="Table_1" id="1">
  <tableColumns count="1">
    <tableColumn name="Column1" id="1"/>
  </tableColumns>
  <tableStyleInfo name="Worksheet 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7EF6FF"/>
      </a:accent1>
      <a:accent2>
        <a:srgbClr val="83FF83"/>
      </a:accent2>
      <a:accent3>
        <a:srgbClr val="FFFF83"/>
      </a:accent3>
      <a:accent4>
        <a:srgbClr val="FFFFFF"/>
      </a:accent4>
      <a:accent5>
        <a:srgbClr val="FFFFFF"/>
      </a:accent5>
      <a:accent6>
        <a:srgbClr val="FFFFFF"/>
      </a:accent6>
      <a:hlink>
        <a:srgbClr val="FFFFFF"/>
      </a:hlink>
      <a:folHlink>
        <a:srgbClr val="FFFF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5" width="13.38"/>
    <col customWidth="1" min="6" max="6" width="15.0"/>
    <col customWidth="1" min="7" max="10" width="13.38"/>
    <col customWidth="1" min="11" max="26" width="12.5"/>
  </cols>
  <sheetData>
    <row r="1" ht="15.75" customHeight="1">
      <c r="A1" s="1" t="s">
        <v>0</v>
      </c>
      <c r="F1" s="2"/>
      <c r="G1" s="2"/>
      <c r="H1" s="2"/>
      <c r="I1" s="2"/>
      <c r="J1" s="3"/>
    </row>
    <row r="2" ht="15.75" customHeight="1">
      <c r="A2" s="4" t="s">
        <v>1</v>
      </c>
      <c r="G2" s="4"/>
      <c r="H2" s="4"/>
      <c r="I2" s="4"/>
      <c r="J2" s="4"/>
    </row>
    <row r="3" ht="15.75" customHeight="1">
      <c r="A3" s="4" t="s">
        <v>2</v>
      </c>
      <c r="B3" s="4"/>
      <c r="C3" s="4"/>
      <c r="D3" s="4"/>
      <c r="E3" s="4"/>
      <c r="F3" s="4"/>
      <c r="G3" s="5"/>
      <c r="H3" s="5"/>
      <c r="I3" s="5"/>
      <c r="J3" s="5"/>
    </row>
    <row r="4" ht="15.75" customHeight="1">
      <c r="A4" s="4" t="s">
        <v>3</v>
      </c>
      <c r="B4" s="4"/>
      <c r="C4" s="4"/>
      <c r="D4" s="4"/>
      <c r="E4" s="4"/>
      <c r="F4" s="4"/>
      <c r="G4" s="5"/>
      <c r="H4" s="5"/>
      <c r="I4" s="5"/>
      <c r="J4" s="5"/>
    </row>
    <row r="5" ht="15.75" customHeight="1">
      <c r="A5" s="6" t="s">
        <v>4</v>
      </c>
      <c r="B5" s="5"/>
      <c r="C5" s="5"/>
      <c r="D5" s="5"/>
      <c r="E5" s="5"/>
      <c r="F5" s="5"/>
      <c r="G5" s="5"/>
      <c r="H5" s="5"/>
      <c r="I5" s="5"/>
      <c r="J5" s="5"/>
    </row>
    <row r="6" ht="15.75" customHeight="1">
      <c r="B6" s="4"/>
      <c r="C6" s="4"/>
      <c r="D6" s="4"/>
      <c r="E6" s="4"/>
      <c r="F6" s="4"/>
      <c r="G6" s="4"/>
      <c r="H6" s="4"/>
      <c r="I6" s="4"/>
      <c r="J6" s="4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</row>
    <row r="8" ht="15.75" customHeight="1">
      <c r="A8" s="7" t="s">
        <v>5</v>
      </c>
      <c r="B8" s="8"/>
      <c r="C8" s="8"/>
      <c r="D8" s="8"/>
      <c r="E8" s="9"/>
      <c r="G8" s="10"/>
      <c r="H8" s="10"/>
      <c r="I8" s="10"/>
      <c r="J8" s="10"/>
    </row>
    <row r="9" ht="15.75" customHeight="1">
      <c r="A9" s="11" t="s">
        <v>6</v>
      </c>
      <c r="B9" s="12" t="s">
        <v>7</v>
      </c>
      <c r="C9" s="13"/>
      <c r="D9" s="14"/>
      <c r="E9" s="11"/>
      <c r="G9" s="15"/>
      <c r="H9" s="15"/>
      <c r="I9" s="15"/>
      <c r="J9" s="16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ht="15.75" customHeight="1">
      <c r="A11" s="17" t="s">
        <v>8</v>
      </c>
    </row>
    <row r="12" ht="15.75" customHeight="1">
      <c r="A12" s="18" t="s">
        <v>9</v>
      </c>
      <c r="B12" s="19"/>
      <c r="C12" s="19"/>
      <c r="D12" s="19"/>
      <c r="E12" s="19"/>
      <c r="F12" s="19"/>
      <c r="G12" s="19"/>
      <c r="H12" s="19"/>
      <c r="I12" s="19"/>
      <c r="J12" s="19"/>
    </row>
    <row r="13" ht="15.75" customHeight="1">
      <c r="A13" s="19" t="s">
        <v>10</v>
      </c>
    </row>
    <row r="14" ht="15.75" customHeight="1">
      <c r="A14" s="18" t="s">
        <v>11</v>
      </c>
      <c r="B14" s="3"/>
      <c r="C14" s="3"/>
      <c r="D14" s="3"/>
      <c r="E14" s="3"/>
      <c r="F14" s="3"/>
      <c r="G14" s="3"/>
      <c r="H14" s="3"/>
      <c r="I14" s="3"/>
      <c r="J14" s="3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ht="15.75" customHeight="1">
      <c r="A16" s="4" t="s">
        <v>12</v>
      </c>
      <c r="J16" s="4"/>
    </row>
    <row r="17" ht="15.75" customHeight="1">
      <c r="A17" s="11" t="s">
        <v>13</v>
      </c>
      <c r="B17" s="20"/>
      <c r="C17" s="20"/>
      <c r="D17" s="20"/>
      <c r="E17" s="20"/>
      <c r="F17" s="20"/>
      <c r="G17" s="20"/>
      <c r="H17" s="20"/>
      <c r="I17" s="21"/>
      <c r="J17" s="3"/>
    </row>
    <row r="18" ht="15.75" customHeight="1">
      <c r="A18" s="22" t="s">
        <v>14</v>
      </c>
      <c r="B18" s="8"/>
      <c r="C18" s="8"/>
      <c r="D18" s="8"/>
      <c r="E18" s="8"/>
      <c r="F18" s="8"/>
      <c r="G18" s="8"/>
      <c r="H18" s="9"/>
      <c r="I18" s="23"/>
      <c r="J18" s="3"/>
    </row>
    <row r="19" ht="15.75" customHeight="1">
      <c r="A19" s="24" t="s">
        <v>15</v>
      </c>
      <c r="B19" s="23"/>
      <c r="C19" s="23"/>
      <c r="D19" s="23"/>
      <c r="E19" s="23"/>
      <c r="F19" s="23"/>
      <c r="G19" s="23"/>
      <c r="H19" s="23"/>
      <c r="I19" s="23"/>
      <c r="J19" s="4"/>
    </row>
    <row r="20" ht="15.75" customHeight="1">
      <c r="A20" s="22" t="s">
        <v>16</v>
      </c>
      <c r="B20" s="8"/>
      <c r="C20" s="8"/>
      <c r="D20" s="8"/>
      <c r="E20" s="8"/>
      <c r="F20" s="8"/>
      <c r="G20" s="9"/>
      <c r="H20" s="23"/>
      <c r="I20" s="23"/>
      <c r="J20" s="4"/>
    </row>
    <row r="21" ht="15.75" customHeight="1">
      <c r="A21" s="24" t="s">
        <v>17</v>
      </c>
      <c r="B21" s="23"/>
      <c r="C21" s="23"/>
      <c r="D21" s="23"/>
      <c r="E21" s="23"/>
      <c r="F21" s="23"/>
      <c r="G21" s="23"/>
      <c r="H21" s="23"/>
      <c r="I21" s="23"/>
      <c r="J21" s="4"/>
    </row>
    <row r="22" ht="15.75" customHeight="1">
      <c r="A22" s="22" t="s">
        <v>18</v>
      </c>
      <c r="B22" s="8"/>
      <c r="C22" s="8"/>
      <c r="D22" s="8"/>
      <c r="E22" s="8"/>
      <c r="F22" s="9"/>
      <c r="G22" s="23"/>
      <c r="H22" s="23"/>
      <c r="I22" s="23"/>
      <c r="J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20:G20"/>
    <mergeCell ref="A22:F22"/>
    <mergeCell ref="A1:E1"/>
    <mergeCell ref="A8:E8"/>
    <mergeCell ref="B9:D9"/>
    <mergeCell ref="A11:J11"/>
    <mergeCell ref="A13:J13"/>
    <mergeCell ref="A16:I16"/>
    <mergeCell ref="A18:H1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5.13"/>
    <col customWidth="1" min="2" max="8" width="15.13"/>
    <col customWidth="1" min="9" max="9" width="3.38"/>
    <col customWidth="1" min="10" max="10" width="51.88"/>
    <col customWidth="1" min="11" max="26" width="12.5"/>
  </cols>
  <sheetData>
    <row r="1" ht="15.75" customHeight="1">
      <c r="A1" s="25" t="s">
        <v>6</v>
      </c>
      <c r="B1" s="26" t="s">
        <v>19</v>
      </c>
      <c r="C1" s="27" t="s">
        <v>20</v>
      </c>
      <c r="D1" s="27" t="s">
        <v>21</v>
      </c>
      <c r="E1" s="27" t="s">
        <v>22</v>
      </c>
      <c r="F1" s="28" t="s">
        <v>23</v>
      </c>
      <c r="G1" s="26" t="s">
        <v>24</v>
      </c>
      <c r="H1" s="26" t="s">
        <v>25</v>
      </c>
      <c r="I1" s="29"/>
      <c r="J1" s="29"/>
    </row>
    <row r="2" ht="15.75" customHeight="1">
      <c r="A2" s="30" t="s">
        <v>26</v>
      </c>
      <c r="B2" s="30" t="s">
        <v>27</v>
      </c>
      <c r="C2" s="31">
        <f t="shared" ref="C2:C20" si="1">D2</f>
        <v>47501</v>
      </c>
      <c r="D2" s="32">
        <v>47501.0</v>
      </c>
      <c r="E2" s="33">
        <v>0.6979166666666666</v>
      </c>
      <c r="F2" s="34" t="s">
        <v>28</v>
      </c>
      <c r="G2" s="30" t="s">
        <v>29</v>
      </c>
      <c r="H2" s="30" t="s">
        <v>30</v>
      </c>
      <c r="I2" s="29"/>
      <c r="J2" s="29"/>
    </row>
    <row r="3" ht="15.75" customHeight="1">
      <c r="A3" s="30" t="s">
        <v>31</v>
      </c>
      <c r="B3" s="30" t="s">
        <v>32</v>
      </c>
      <c r="C3" s="31">
        <f t="shared" si="1"/>
        <v>47491</v>
      </c>
      <c r="D3" s="32">
        <v>47491.0</v>
      </c>
      <c r="E3" s="33">
        <v>0.4895833333333333</v>
      </c>
      <c r="F3" s="34" t="s">
        <v>28</v>
      </c>
      <c r="G3" s="30" t="s">
        <v>29</v>
      </c>
      <c r="H3" s="30" t="s">
        <v>30</v>
      </c>
      <c r="I3" s="29"/>
      <c r="J3" s="29"/>
    </row>
    <row r="4" ht="15.75" customHeight="1">
      <c r="A4" s="30" t="s">
        <v>33</v>
      </c>
      <c r="B4" s="30" t="s">
        <v>27</v>
      </c>
      <c r="C4" s="31">
        <f t="shared" si="1"/>
        <v>47486</v>
      </c>
      <c r="D4" s="32">
        <v>47486.0</v>
      </c>
      <c r="E4" s="33">
        <v>0.5625</v>
      </c>
      <c r="F4" s="34" t="s">
        <v>34</v>
      </c>
      <c r="G4" s="30" t="s">
        <v>29</v>
      </c>
      <c r="H4" s="30" t="s">
        <v>30</v>
      </c>
      <c r="I4" s="29"/>
      <c r="J4" s="29"/>
    </row>
    <row r="5" ht="15.75" customHeight="1">
      <c r="A5" s="30" t="s">
        <v>35</v>
      </c>
      <c r="B5" s="30" t="s">
        <v>36</v>
      </c>
      <c r="C5" s="31">
        <f t="shared" si="1"/>
        <v>47493</v>
      </c>
      <c r="D5" s="32">
        <v>47493.0</v>
      </c>
      <c r="E5" s="33">
        <v>0.6145833333333334</v>
      </c>
      <c r="F5" s="34" t="s">
        <v>28</v>
      </c>
      <c r="G5" s="30" t="s">
        <v>29</v>
      </c>
      <c r="H5" s="30" t="s">
        <v>30</v>
      </c>
      <c r="I5" s="29"/>
      <c r="J5" s="29"/>
    </row>
    <row r="6" ht="15.75" customHeight="1">
      <c r="A6" s="30" t="s">
        <v>37</v>
      </c>
      <c r="B6" s="30" t="s">
        <v>27</v>
      </c>
      <c r="C6" s="31">
        <f t="shared" si="1"/>
        <v>47494</v>
      </c>
      <c r="D6" s="32">
        <v>47494.0</v>
      </c>
      <c r="E6" s="33">
        <v>0.6666666666666666</v>
      </c>
      <c r="F6" s="34" t="s">
        <v>34</v>
      </c>
      <c r="G6" s="30" t="s">
        <v>29</v>
      </c>
      <c r="H6" s="30" t="s">
        <v>30</v>
      </c>
      <c r="I6" s="29"/>
      <c r="J6" s="29"/>
    </row>
    <row r="7" ht="15.75" customHeight="1">
      <c r="A7" s="30" t="s">
        <v>38</v>
      </c>
      <c r="B7" s="30" t="s">
        <v>36</v>
      </c>
      <c r="C7" s="31">
        <f t="shared" si="1"/>
        <v>47492</v>
      </c>
      <c r="D7" s="32">
        <v>47492.0</v>
      </c>
      <c r="E7" s="33">
        <v>0.5625</v>
      </c>
      <c r="F7" s="34" t="s">
        <v>34</v>
      </c>
      <c r="G7" s="30" t="s">
        <v>29</v>
      </c>
      <c r="H7" s="30" t="s">
        <v>30</v>
      </c>
      <c r="I7" s="29"/>
      <c r="J7" s="29"/>
    </row>
    <row r="8" ht="15.75" customHeight="1">
      <c r="A8" s="30" t="s">
        <v>39</v>
      </c>
      <c r="B8" s="30" t="s">
        <v>32</v>
      </c>
      <c r="C8" s="31">
        <f t="shared" si="1"/>
        <v>47487</v>
      </c>
      <c r="D8" s="32">
        <v>47487.0</v>
      </c>
      <c r="E8" s="33">
        <v>0.6145833333333334</v>
      </c>
      <c r="F8" s="34" t="s">
        <v>28</v>
      </c>
      <c r="G8" s="30" t="s">
        <v>29</v>
      </c>
      <c r="H8" s="30" t="s">
        <v>30</v>
      </c>
      <c r="I8" s="29"/>
      <c r="J8" s="29"/>
    </row>
    <row r="9" ht="15.75" customHeight="1">
      <c r="A9" s="30" t="s">
        <v>40</v>
      </c>
      <c r="B9" s="30" t="s">
        <v>32</v>
      </c>
      <c r="C9" s="31">
        <f t="shared" si="1"/>
        <v>47502</v>
      </c>
      <c r="D9" s="32">
        <v>47502.0</v>
      </c>
      <c r="E9" s="33">
        <v>0.3958333333333333</v>
      </c>
      <c r="F9" s="34" t="s">
        <v>34</v>
      </c>
      <c r="G9" s="30" t="s">
        <v>29</v>
      </c>
      <c r="H9" s="30" t="s">
        <v>30</v>
      </c>
      <c r="I9" s="29"/>
      <c r="J9" s="29"/>
    </row>
    <row r="10" ht="15.75" customHeight="1">
      <c r="A10" s="30" t="s">
        <v>41</v>
      </c>
      <c r="B10" s="30" t="s">
        <v>32</v>
      </c>
      <c r="C10" s="31">
        <f t="shared" si="1"/>
        <v>47499</v>
      </c>
      <c r="D10" s="32">
        <v>47499.0</v>
      </c>
      <c r="E10" s="33">
        <v>0.6145833333333334</v>
      </c>
      <c r="F10" s="34" t="s">
        <v>28</v>
      </c>
      <c r="G10" s="30" t="s">
        <v>29</v>
      </c>
      <c r="H10" s="30" t="s">
        <v>30</v>
      </c>
      <c r="I10" s="29"/>
      <c r="J10" s="29"/>
    </row>
    <row r="11" ht="15.75" customHeight="1">
      <c r="A11" s="30" t="s">
        <v>42</v>
      </c>
      <c r="B11" s="30" t="s">
        <v>27</v>
      </c>
      <c r="C11" s="31">
        <f t="shared" si="1"/>
        <v>47490</v>
      </c>
      <c r="D11" s="32">
        <v>47490.0</v>
      </c>
      <c r="E11" s="33">
        <v>0.3958333333333333</v>
      </c>
      <c r="F11" s="34" t="s">
        <v>34</v>
      </c>
      <c r="G11" s="30" t="s">
        <v>29</v>
      </c>
      <c r="H11" s="30" t="s">
        <v>30</v>
      </c>
      <c r="I11" s="29"/>
      <c r="J11" s="29"/>
    </row>
    <row r="12" ht="15.75" customHeight="1">
      <c r="A12" s="30" t="s">
        <v>43</v>
      </c>
      <c r="B12" s="30" t="s">
        <v>36</v>
      </c>
      <c r="C12" s="31">
        <f t="shared" si="1"/>
        <v>47500</v>
      </c>
      <c r="D12" s="32">
        <v>47500.0</v>
      </c>
      <c r="E12" s="33">
        <v>0.6666666666666666</v>
      </c>
      <c r="F12" s="34" t="s">
        <v>34</v>
      </c>
      <c r="G12" s="30" t="s">
        <v>29</v>
      </c>
      <c r="H12" s="30" t="s">
        <v>30</v>
      </c>
      <c r="I12" s="29"/>
      <c r="J12" s="29"/>
    </row>
    <row r="13" ht="15.75" customHeight="1">
      <c r="A13" s="30" t="s">
        <v>44</v>
      </c>
      <c r="B13" s="30" t="s">
        <v>36</v>
      </c>
      <c r="C13" s="31">
        <f t="shared" si="1"/>
        <v>47485</v>
      </c>
      <c r="D13" s="32">
        <v>47485.0</v>
      </c>
      <c r="E13" s="33">
        <v>0.4895833333333333</v>
      </c>
      <c r="F13" s="34" t="s">
        <v>28</v>
      </c>
      <c r="G13" s="30" t="s">
        <v>29</v>
      </c>
      <c r="H13" s="30" t="s">
        <v>30</v>
      </c>
      <c r="I13" s="29"/>
      <c r="J13" s="29"/>
    </row>
    <row r="14" ht="15.75" customHeight="1">
      <c r="A14" s="30" t="s">
        <v>45</v>
      </c>
      <c r="B14" s="30" t="s">
        <v>36</v>
      </c>
      <c r="C14" s="31">
        <f t="shared" si="1"/>
        <v>47497</v>
      </c>
      <c r="D14" s="32">
        <v>47497.0</v>
      </c>
      <c r="E14" s="33">
        <v>0.4895833333333333</v>
      </c>
      <c r="F14" s="34" t="s">
        <v>28</v>
      </c>
      <c r="G14" s="30" t="s">
        <v>29</v>
      </c>
      <c r="H14" s="30" t="s">
        <v>30</v>
      </c>
      <c r="I14" s="29"/>
      <c r="J14" s="29"/>
    </row>
    <row r="15" ht="15.75" customHeight="1">
      <c r="A15" s="30" t="s">
        <v>46</v>
      </c>
      <c r="B15" s="30" t="s">
        <v>32</v>
      </c>
      <c r="C15" s="31">
        <f t="shared" si="1"/>
        <v>47488</v>
      </c>
      <c r="D15" s="32">
        <v>47488.0</v>
      </c>
      <c r="E15" s="33">
        <v>0.6666666666666666</v>
      </c>
      <c r="F15" s="34" t="s">
        <v>34</v>
      </c>
      <c r="G15" s="30" t="s">
        <v>29</v>
      </c>
      <c r="H15" s="30" t="s">
        <v>30</v>
      </c>
      <c r="I15" s="29"/>
      <c r="J15" s="29"/>
    </row>
    <row r="16" ht="15.75" customHeight="1">
      <c r="A16" s="30" t="s">
        <v>47</v>
      </c>
      <c r="B16" s="30" t="s">
        <v>32</v>
      </c>
      <c r="C16" s="31">
        <f t="shared" si="1"/>
        <v>47495</v>
      </c>
      <c r="D16" s="32">
        <v>47495.0</v>
      </c>
      <c r="E16" s="33">
        <v>0.6979166666666666</v>
      </c>
      <c r="F16" s="34" t="s">
        <v>28</v>
      </c>
      <c r="G16" s="30" t="s">
        <v>29</v>
      </c>
      <c r="H16" s="30" t="s">
        <v>30</v>
      </c>
      <c r="I16" s="29"/>
      <c r="J16" s="29"/>
    </row>
    <row r="17" ht="15.75" customHeight="1">
      <c r="A17" s="30" t="s">
        <v>48</v>
      </c>
      <c r="B17" s="30" t="s">
        <v>27</v>
      </c>
      <c r="C17" s="31">
        <f t="shared" si="1"/>
        <v>47498</v>
      </c>
      <c r="D17" s="32">
        <v>47498.0</v>
      </c>
      <c r="E17" s="33">
        <v>0.5625</v>
      </c>
      <c r="F17" s="34" t="s">
        <v>34</v>
      </c>
      <c r="G17" s="30" t="s">
        <v>29</v>
      </c>
      <c r="H17" s="30" t="s">
        <v>30</v>
      </c>
      <c r="I17" s="29"/>
      <c r="J17" s="29"/>
    </row>
    <row r="18" ht="15.75" customHeight="1">
      <c r="A18" s="30" t="s">
        <v>49</v>
      </c>
      <c r="B18" s="30" t="s">
        <v>36</v>
      </c>
      <c r="C18" s="31">
        <f t="shared" si="1"/>
        <v>47489</v>
      </c>
      <c r="D18" s="32">
        <v>47489.0</v>
      </c>
      <c r="E18" s="33">
        <v>0.6979166666666666</v>
      </c>
      <c r="F18" s="34" t="s">
        <v>28</v>
      </c>
      <c r="G18" s="30" t="s">
        <v>29</v>
      </c>
      <c r="H18" s="30" t="s">
        <v>30</v>
      </c>
      <c r="I18" s="29"/>
      <c r="J18" s="29"/>
    </row>
    <row r="19" ht="15.75" customHeight="1">
      <c r="A19" s="30" t="s">
        <v>50</v>
      </c>
      <c r="B19" s="30" t="s">
        <v>32</v>
      </c>
      <c r="C19" s="31">
        <f t="shared" si="1"/>
        <v>47496</v>
      </c>
      <c r="D19" s="32">
        <v>47496.0</v>
      </c>
      <c r="E19" s="33">
        <v>0.3958333333333333</v>
      </c>
      <c r="F19" s="34" t="s">
        <v>34</v>
      </c>
      <c r="G19" s="30" t="s">
        <v>29</v>
      </c>
      <c r="H19" s="30" t="s">
        <v>30</v>
      </c>
      <c r="I19" s="29"/>
      <c r="J19" s="29"/>
    </row>
    <row r="20" ht="15.75" customHeight="1">
      <c r="A20" s="30" t="s">
        <v>51</v>
      </c>
      <c r="B20" s="30" t="s">
        <v>27</v>
      </c>
      <c r="C20" s="31">
        <f t="shared" si="1"/>
        <v>47484</v>
      </c>
      <c r="D20" s="32">
        <v>47484.0</v>
      </c>
      <c r="E20" s="33">
        <v>0.3958333333333333</v>
      </c>
      <c r="F20" s="34" t="s">
        <v>34</v>
      </c>
      <c r="G20" s="30" t="s">
        <v>29</v>
      </c>
      <c r="H20" s="30" t="s">
        <v>30</v>
      </c>
      <c r="I20" s="29"/>
      <c r="J20" s="29"/>
    </row>
    <row r="21" ht="15.75" customHeight="1">
      <c r="I21" s="29"/>
      <c r="J21" s="29"/>
    </row>
    <row r="22" ht="15.75" customHeight="1">
      <c r="A22" s="35"/>
      <c r="B22" s="36"/>
      <c r="C22" s="37"/>
      <c r="D22" s="38"/>
      <c r="E22" s="38"/>
      <c r="F22" s="38"/>
      <c r="G22" s="38"/>
      <c r="H22" s="39"/>
      <c r="I22" s="29"/>
      <c r="J22" s="29"/>
    </row>
    <row r="23" ht="15.75" customHeight="1">
      <c r="A23" s="35"/>
      <c r="C23" s="36"/>
      <c r="D23" s="37"/>
      <c r="E23" s="38"/>
      <c r="F23" s="38"/>
      <c r="G23" s="38"/>
      <c r="H23" s="39"/>
      <c r="I23" s="29"/>
      <c r="J23" s="29"/>
    </row>
    <row r="24" ht="15.75" customHeight="1">
      <c r="A24" s="35"/>
      <c r="C24" s="40" t="s">
        <v>23</v>
      </c>
      <c r="D24" s="40" t="s">
        <v>52</v>
      </c>
      <c r="E24" s="38"/>
      <c r="F24" s="38"/>
      <c r="G24" s="38"/>
      <c r="H24" s="39"/>
      <c r="I24" s="29"/>
      <c r="J24" s="29"/>
    </row>
    <row r="25" ht="15.75" customHeight="1">
      <c r="A25" s="35"/>
      <c r="C25" s="41" t="s">
        <v>34</v>
      </c>
      <c r="D25" s="42">
        <f>COUNTIF(F2:F20,"confirmed")</f>
        <v>10</v>
      </c>
      <c r="E25" s="38"/>
      <c r="F25" s="38"/>
      <c r="G25" s="38"/>
      <c r="H25" s="39"/>
      <c r="I25" s="29"/>
      <c r="J25" s="29"/>
    </row>
    <row r="26" ht="15.75" customHeight="1">
      <c r="A26" s="35"/>
      <c r="C26" s="43" t="s">
        <v>28</v>
      </c>
      <c r="D26" s="44">
        <f>COUNTIF(F2:F20,"completed")</f>
        <v>9</v>
      </c>
      <c r="E26" s="38"/>
      <c r="F26" s="38"/>
      <c r="G26" s="38"/>
      <c r="H26" s="39"/>
      <c r="I26" s="29"/>
      <c r="J26" s="29"/>
    </row>
    <row r="27" ht="15.75" customHeight="1">
      <c r="A27" s="35"/>
      <c r="C27" s="27" t="s">
        <v>53</v>
      </c>
      <c r="D27" s="42">
        <f>COUNTA(F2:F20)</f>
        <v>19</v>
      </c>
      <c r="E27" s="36"/>
      <c r="F27" s="38"/>
      <c r="G27" s="38"/>
      <c r="H27" s="39"/>
      <c r="I27" s="29"/>
      <c r="J27" s="29"/>
    </row>
    <row r="28" ht="15.75" customHeight="1">
      <c r="A28" s="35"/>
      <c r="F28" s="38"/>
      <c r="G28" s="38"/>
      <c r="H28" s="39"/>
      <c r="I28" s="29"/>
      <c r="J28" s="29"/>
    </row>
    <row r="29" ht="15.75" customHeight="1">
      <c r="A29" s="35" t="s">
        <v>54</v>
      </c>
      <c r="C29" s="36"/>
      <c r="D29" s="37"/>
      <c r="E29" s="38"/>
      <c r="F29" s="38"/>
      <c r="G29" s="38"/>
      <c r="H29" s="39"/>
      <c r="I29" s="29"/>
      <c r="J29" s="29"/>
    </row>
    <row r="30" ht="15.75" customHeight="1">
      <c r="B30" s="36"/>
      <c r="C30" s="37"/>
      <c r="D30" s="38"/>
      <c r="E30" s="38"/>
      <c r="F30" s="38"/>
      <c r="G30" s="38"/>
      <c r="H30" s="39"/>
      <c r="I30" s="29"/>
      <c r="J30" s="29"/>
    </row>
    <row r="31" ht="15.75" customHeight="1">
      <c r="A31" s="45"/>
      <c r="H31" s="46"/>
      <c r="I31" s="47"/>
      <c r="J31" s="47"/>
    </row>
    <row r="32" ht="15.75" customHeight="1">
      <c r="A32" s="48">
        <v>1.0</v>
      </c>
      <c r="B32" s="49" t="s">
        <v>55</v>
      </c>
      <c r="C32" s="50"/>
      <c r="D32" s="50"/>
      <c r="E32" s="50"/>
      <c r="F32" s="50"/>
      <c r="G32" s="51"/>
      <c r="H32" s="46"/>
      <c r="I32" s="47"/>
      <c r="J32" s="47"/>
    </row>
    <row r="33" ht="15.75" customHeight="1">
      <c r="A33" s="52"/>
      <c r="B33" s="53"/>
      <c r="C33" s="8"/>
      <c r="D33" s="8"/>
      <c r="E33" s="8"/>
      <c r="F33" s="9"/>
      <c r="G33" s="54"/>
      <c r="H33" s="46"/>
      <c r="I33" s="47"/>
      <c r="J33" s="47"/>
    </row>
    <row r="34" ht="18.0" customHeight="1">
      <c r="A34" s="55"/>
      <c r="B34" s="53" t="s">
        <v>56</v>
      </c>
      <c r="C34" s="8"/>
      <c r="D34" s="8"/>
      <c r="E34" s="8"/>
      <c r="F34" s="8"/>
      <c r="G34" s="9"/>
      <c r="H34" s="46"/>
      <c r="I34" s="47"/>
      <c r="J34" s="47"/>
    </row>
    <row r="35" ht="15.75" customHeight="1">
      <c r="A35" s="48">
        <v>2.0</v>
      </c>
      <c r="B35" s="49" t="s">
        <v>57</v>
      </c>
      <c r="C35" s="50"/>
      <c r="D35" s="50"/>
      <c r="E35" s="50"/>
      <c r="F35" s="50"/>
      <c r="G35" s="51"/>
      <c r="H35" s="46"/>
      <c r="I35" s="47"/>
      <c r="J35" s="47"/>
    </row>
    <row r="36" ht="15.75" customHeight="1">
      <c r="A36" s="52"/>
      <c r="B36" s="53" t="s">
        <v>58</v>
      </c>
      <c r="C36" s="8"/>
      <c r="D36" s="8"/>
      <c r="E36" s="8"/>
      <c r="F36" s="9"/>
      <c r="G36" s="54"/>
      <c r="H36" s="46"/>
      <c r="I36" s="47"/>
      <c r="J36" s="47"/>
    </row>
    <row r="37" ht="15.75" customHeight="1">
      <c r="A37" s="55"/>
      <c r="B37" s="53" t="s">
        <v>59</v>
      </c>
      <c r="C37" s="8"/>
      <c r="D37" s="8"/>
      <c r="E37" s="8"/>
      <c r="F37" s="9"/>
      <c r="G37" s="54"/>
      <c r="H37" s="46"/>
      <c r="I37" s="47"/>
      <c r="J37" s="47"/>
    </row>
    <row r="38" ht="15.75" customHeight="1">
      <c r="A38" s="48">
        <v>3.0</v>
      </c>
      <c r="B38" s="49" t="s">
        <v>60</v>
      </c>
      <c r="C38" s="50"/>
      <c r="D38" s="50"/>
      <c r="E38" s="50"/>
      <c r="F38" s="50"/>
      <c r="G38" s="51"/>
      <c r="H38" s="46"/>
      <c r="I38" s="47"/>
      <c r="J38" s="47"/>
    </row>
    <row r="39" ht="15.0" customHeight="1">
      <c r="A39" s="52"/>
      <c r="B39" s="53" t="s">
        <v>61</v>
      </c>
      <c r="C39" s="8"/>
      <c r="D39" s="8"/>
      <c r="E39" s="8"/>
      <c r="F39" s="9"/>
      <c r="G39" s="54"/>
      <c r="H39" s="46"/>
      <c r="I39" s="47"/>
      <c r="J39" s="47"/>
    </row>
    <row r="40" ht="15.75" customHeight="1">
      <c r="A40" s="55"/>
      <c r="B40" s="53" t="s">
        <v>62</v>
      </c>
      <c r="C40" s="8"/>
      <c r="D40" s="8"/>
      <c r="E40" s="8"/>
      <c r="F40" s="9"/>
      <c r="G40" s="54"/>
      <c r="H40" s="46"/>
      <c r="I40" s="47"/>
      <c r="J40" s="47"/>
    </row>
    <row r="41" ht="15.75" customHeight="1">
      <c r="A41" s="56"/>
      <c r="B41" s="57"/>
      <c r="C41" s="57"/>
      <c r="D41" s="57"/>
      <c r="E41" s="57"/>
      <c r="F41" s="57"/>
      <c r="G41" s="38"/>
      <c r="H41" s="39"/>
      <c r="I41" s="47"/>
      <c r="J41" s="47"/>
    </row>
    <row r="42" ht="15.75" customHeight="1">
      <c r="A42" s="58"/>
      <c r="B42" s="59"/>
      <c r="C42" s="59"/>
      <c r="D42" s="59"/>
      <c r="E42" s="59"/>
      <c r="F42" s="59"/>
      <c r="G42" s="38"/>
      <c r="H42" s="39"/>
      <c r="I42" s="47"/>
      <c r="J42" s="47"/>
    </row>
    <row r="43" ht="15.75" customHeight="1">
      <c r="A43" s="58"/>
      <c r="B43" s="59"/>
      <c r="C43" s="59"/>
      <c r="D43" s="59"/>
      <c r="E43" s="59"/>
      <c r="F43" s="59"/>
      <c r="G43" s="38"/>
      <c r="H43" s="39"/>
      <c r="I43" s="47"/>
      <c r="J43" s="47"/>
    </row>
    <row r="44" ht="15.75" customHeight="1">
      <c r="A44" s="60"/>
      <c r="B44" s="61"/>
      <c r="C44" s="61"/>
      <c r="D44" s="61"/>
      <c r="E44" s="61"/>
      <c r="F44" s="61"/>
      <c r="G44" s="62"/>
      <c r="H44" s="63"/>
      <c r="I44" s="47"/>
      <c r="J44" s="47"/>
    </row>
    <row r="45" ht="18.75" customHeight="1">
      <c r="A45" s="64"/>
      <c r="I45" s="47"/>
      <c r="J45" s="47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35:A37"/>
    <mergeCell ref="A38:A40"/>
    <mergeCell ref="B38:G38"/>
    <mergeCell ref="B39:F39"/>
    <mergeCell ref="B40:F40"/>
    <mergeCell ref="A45:H45"/>
    <mergeCell ref="A32:A34"/>
    <mergeCell ref="B32:G32"/>
    <mergeCell ref="B33:F33"/>
    <mergeCell ref="B34:G34"/>
    <mergeCell ref="B35:G35"/>
    <mergeCell ref="B36:F36"/>
    <mergeCell ref="B37:F37"/>
  </mergeCells>
  <conditionalFormatting sqref="F1:F20">
    <cfRule type="containsText" dxfId="0" priority="1" operator="containsText" text="confirmed">
      <formula>NOT(ISERROR(SEARCH(("confirmed"),(F1))))</formula>
    </cfRule>
  </conditionalFormatting>
  <conditionalFormatting sqref="F1:F20">
    <cfRule type="containsText" dxfId="1" priority="2" operator="containsText" text="completed">
      <formula>NOT(ISERROR(SEARCH(("completed"),(F1))))</formula>
    </cfRule>
  </conditionalFormatting>
  <dataValidations>
    <dataValidation type="list" allowBlank="1" showDropDown="1" showErrorMessage="1" sqref="F2:F20">
      <formula1>"CONFIRMED,COMPLETED"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3" width="18.88"/>
    <col customWidth="1" min="4" max="5" width="15.63"/>
    <col customWidth="1" min="6" max="6" width="21.13"/>
    <col customWidth="1" min="7" max="7" width="12.0"/>
    <col customWidth="1" min="8" max="8" width="14.63"/>
    <col customWidth="1" min="9" max="9" width="17.5"/>
    <col customWidth="1" min="10" max="10" width="16.38"/>
    <col customWidth="1" min="11" max="11" width="15.63"/>
    <col customWidth="1" min="12" max="12" width="3.38"/>
    <col customWidth="1" min="13" max="26" width="12.5"/>
  </cols>
  <sheetData>
    <row r="1" ht="15.75" customHeight="1">
      <c r="A1" s="65" t="s">
        <v>63</v>
      </c>
      <c r="B1" s="66"/>
      <c r="C1" s="66"/>
      <c r="D1" s="66"/>
      <c r="F1" s="67" t="s">
        <v>64</v>
      </c>
      <c r="G1" s="66"/>
      <c r="H1" s="66"/>
      <c r="I1" s="66"/>
      <c r="J1" s="66"/>
      <c r="K1" s="66"/>
      <c r="L1" s="66"/>
    </row>
    <row r="2" ht="15.75" customHeight="1">
      <c r="A2" s="66"/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</row>
    <row r="3" ht="15.75" customHeight="1">
      <c r="A3" s="68"/>
      <c r="B3" s="69"/>
      <c r="C3" s="66"/>
      <c r="D3" s="66"/>
      <c r="E3" s="66"/>
      <c r="F3" s="70" t="s">
        <v>65</v>
      </c>
      <c r="G3" s="71" t="s">
        <v>66</v>
      </c>
      <c r="H3" s="70" t="s">
        <v>67</v>
      </c>
      <c r="I3" s="70" t="s">
        <v>68</v>
      </c>
      <c r="J3" s="70" t="s">
        <v>69</v>
      </c>
      <c r="K3" s="72"/>
      <c r="L3" s="66"/>
    </row>
    <row r="4" ht="15.75" customHeight="1">
      <c r="A4" s="73"/>
      <c r="B4" s="74"/>
      <c r="C4" s="66"/>
      <c r="D4" s="66"/>
      <c r="E4" s="66"/>
      <c r="F4" s="75" t="s">
        <v>70</v>
      </c>
      <c r="G4" s="76">
        <v>103.0</v>
      </c>
      <c r="H4" s="77" t="s">
        <v>71</v>
      </c>
      <c r="I4" s="78" t="s">
        <v>72</v>
      </c>
      <c r="J4" s="76">
        <v>10800.0</v>
      </c>
      <c r="K4" s="72"/>
      <c r="L4" s="66"/>
    </row>
    <row r="5" ht="15.75" customHeight="1">
      <c r="A5" s="73"/>
      <c r="B5" s="74"/>
      <c r="C5" s="66"/>
      <c r="D5" s="66"/>
      <c r="E5" s="66"/>
      <c r="F5" s="79" t="s">
        <v>70</v>
      </c>
      <c r="G5" s="80">
        <v>106.0</v>
      </c>
      <c r="H5" s="81" t="s">
        <v>71</v>
      </c>
      <c r="I5" s="82" t="s">
        <v>73</v>
      </c>
      <c r="J5" s="80">
        <v>21600.0</v>
      </c>
      <c r="K5" s="72"/>
      <c r="L5" s="66"/>
    </row>
    <row r="6" ht="15.75" customHeight="1">
      <c r="A6" s="73"/>
      <c r="B6" s="74"/>
      <c r="C6" s="66"/>
      <c r="D6" s="66"/>
      <c r="E6" s="66"/>
      <c r="F6" s="75" t="s">
        <v>74</v>
      </c>
      <c r="G6" s="76">
        <v>51.0</v>
      </c>
      <c r="H6" s="77" t="s">
        <v>75</v>
      </c>
      <c r="I6" s="78" t="s">
        <v>76</v>
      </c>
      <c r="J6" s="76">
        <v>36764.0</v>
      </c>
      <c r="K6" s="72"/>
      <c r="L6" s="66"/>
    </row>
    <row r="7" ht="15.75" customHeight="1">
      <c r="A7" s="73"/>
      <c r="B7" s="74"/>
      <c r="C7" s="66"/>
      <c r="D7" s="66"/>
      <c r="E7" s="66"/>
      <c r="F7" s="79" t="s">
        <v>70</v>
      </c>
      <c r="G7" s="80">
        <v>77.0</v>
      </c>
      <c r="H7" s="81" t="s">
        <v>75</v>
      </c>
      <c r="I7" s="82" t="s">
        <v>77</v>
      </c>
      <c r="J7" s="80">
        <v>26460.0</v>
      </c>
      <c r="K7" s="83"/>
      <c r="L7" s="66"/>
    </row>
    <row r="8" ht="15.75" customHeight="1">
      <c r="A8" s="84"/>
      <c r="B8" s="74"/>
      <c r="C8" s="66"/>
      <c r="D8" s="66"/>
      <c r="E8" s="66"/>
      <c r="F8" s="75" t="s">
        <v>78</v>
      </c>
      <c r="G8" s="76">
        <v>80.0</v>
      </c>
      <c r="H8" s="77" t="s">
        <v>71</v>
      </c>
      <c r="I8" s="78" t="s">
        <v>73</v>
      </c>
      <c r="J8" s="76">
        <v>19251.0</v>
      </c>
      <c r="K8" s="83"/>
      <c r="L8" s="66"/>
    </row>
    <row r="9" ht="15.75" customHeight="1">
      <c r="A9" s="66"/>
      <c r="B9" s="66"/>
      <c r="C9" s="66"/>
      <c r="E9" s="66"/>
      <c r="F9" s="79" t="s">
        <v>74</v>
      </c>
      <c r="G9" s="80">
        <v>100.0</v>
      </c>
      <c r="H9" s="81" t="s">
        <v>75</v>
      </c>
      <c r="I9" s="82" t="s">
        <v>76</v>
      </c>
      <c r="J9" s="80">
        <v>14908.0</v>
      </c>
      <c r="K9" s="83"/>
      <c r="L9" s="66"/>
    </row>
    <row r="10" ht="15.75" customHeight="1">
      <c r="A10" s="66"/>
      <c r="B10" s="66"/>
      <c r="C10" s="66"/>
      <c r="D10" s="66"/>
      <c r="E10" s="66"/>
      <c r="F10" s="75" t="s">
        <v>74</v>
      </c>
      <c r="G10" s="76">
        <v>73.0</v>
      </c>
      <c r="H10" s="77" t="s">
        <v>75</v>
      </c>
      <c r="I10" s="78" t="s">
        <v>76</v>
      </c>
      <c r="J10" s="76">
        <v>14908.0</v>
      </c>
      <c r="K10" s="83"/>
      <c r="L10" s="66"/>
    </row>
    <row r="11" ht="15.75" customHeight="1">
      <c r="A11" s="66"/>
      <c r="B11" s="66"/>
      <c r="C11" s="66"/>
      <c r="D11" s="66"/>
      <c r="E11" s="66"/>
      <c r="F11" s="79" t="s">
        <v>70</v>
      </c>
      <c r="G11" s="80">
        <v>0.0</v>
      </c>
      <c r="H11" s="81" t="s">
        <v>71</v>
      </c>
      <c r="I11" s="82" t="s">
        <v>79</v>
      </c>
      <c r="J11" s="80">
        <v>21600.0</v>
      </c>
      <c r="K11" s="85"/>
      <c r="L11" s="66"/>
    </row>
    <row r="12" ht="15.75" customHeight="1">
      <c r="A12" s="66"/>
      <c r="B12" s="66"/>
      <c r="C12" s="66"/>
      <c r="D12" s="66"/>
      <c r="E12" s="66"/>
      <c r="F12" s="75" t="s">
        <v>78</v>
      </c>
      <c r="G12" s="76">
        <v>51.0</v>
      </c>
      <c r="H12" s="77" t="s">
        <v>71</v>
      </c>
      <c r="I12" s="78" t="s">
        <v>76</v>
      </c>
      <c r="J12" s="76">
        <v>34375.0</v>
      </c>
      <c r="K12" s="83"/>
      <c r="L12" s="66"/>
    </row>
    <row r="13" ht="15.75" customHeight="1">
      <c r="A13" s="66"/>
      <c r="B13" s="66"/>
      <c r="C13" s="66"/>
      <c r="D13" s="66"/>
      <c r="E13" s="66"/>
      <c r="F13" s="79" t="s">
        <v>78</v>
      </c>
      <c r="G13" s="80">
        <v>51.0</v>
      </c>
      <c r="H13" s="81" t="s">
        <v>71</v>
      </c>
      <c r="I13" s="82" t="s">
        <v>72</v>
      </c>
      <c r="J13" s="80">
        <v>38348.0</v>
      </c>
      <c r="K13" s="83"/>
      <c r="L13" s="66"/>
    </row>
    <row r="14" ht="15.75" customHeight="1">
      <c r="A14" s="66"/>
      <c r="B14" s="66"/>
      <c r="C14" s="66"/>
      <c r="D14" s="66"/>
      <c r="E14" s="66"/>
      <c r="F14" s="75" t="s">
        <v>74</v>
      </c>
      <c r="G14" s="76">
        <v>208.0</v>
      </c>
      <c r="H14" s="77" t="s">
        <v>75</v>
      </c>
      <c r="I14" s="78" t="s">
        <v>79</v>
      </c>
      <c r="J14" s="76">
        <v>16748.0</v>
      </c>
      <c r="K14" s="83"/>
      <c r="L14" s="66"/>
    </row>
    <row r="15" ht="15.75" customHeight="1">
      <c r="A15" s="66"/>
      <c r="B15" s="66"/>
      <c r="C15" s="66"/>
      <c r="D15" s="66"/>
      <c r="E15" s="66"/>
      <c r="F15" s="86"/>
      <c r="G15" s="87"/>
      <c r="H15" s="88"/>
      <c r="I15" s="89"/>
      <c r="J15" s="87"/>
      <c r="K15" s="83"/>
      <c r="L15" s="66"/>
    </row>
    <row r="16" ht="15.75" customHeight="1">
      <c r="A16" s="66"/>
      <c r="B16" s="66"/>
      <c r="C16" s="66"/>
      <c r="D16" s="66"/>
      <c r="E16" s="66"/>
      <c r="F16" s="86"/>
      <c r="G16" s="87"/>
      <c r="H16" s="88"/>
      <c r="I16" s="89"/>
      <c r="J16" s="87"/>
      <c r="K16" s="83"/>
      <c r="L16" s="66"/>
    </row>
    <row r="17" ht="15.75" customHeight="1">
      <c r="A17" s="66"/>
      <c r="B17" s="66"/>
      <c r="C17" s="66"/>
      <c r="D17" s="66"/>
      <c r="E17" s="66"/>
      <c r="F17" s="86"/>
      <c r="G17" s="87"/>
      <c r="H17" s="88"/>
      <c r="I17" s="89"/>
      <c r="J17" s="87"/>
      <c r="K17" s="83"/>
      <c r="L17" s="66"/>
    </row>
    <row r="18" ht="15.75" customHeight="1">
      <c r="A18" s="66"/>
      <c r="B18" s="66"/>
      <c r="C18" s="66"/>
      <c r="D18" s="66"/>
      <c r="E18" s="66"/>
      <c r="F18" s="86"/>
      <c r="G18" s="87"/>
      <c r="H18" s="88"/>
      <c r="I18" s="89"/>
      <c r="J18" s="87"/>
      <c r="K18" s="83"/>
      <c r="L18" s="66"/>
    </row>
    <row r="19" ht="15.75" customHeight="1">
      <c r="A19" s="66"/>
      <c r="B19" s="66"/>
      <c r="C19" s="66"/>
      <c r="D19" s="66"/>
      <c r="E19" s="66"/>
      <c r="F19" s="86"/>
      <c r="G19" s="87"/>
      <c r="H19" s="88"/>
      <c r="I19" s="89"/>
      <c r="J19" s="87"/>
      <c r="K19" s="83"/>
      <c r="L19" s="66"/>
    </row>
    <row r="20" ht="15.75" customHeight="1">
      <c r="A20" s="66"/>
      <c r="B20" s="66"/>
      <c r="C20" s="66"/>
      <c r="D20" s="66"/>
      <c r="E20" s="66"/>
      <c r="F20" s="86"/>
      <c r="G20" s="87"/>
      <c r="H20" s="88"/>
      <c r="I20" s="89"/>
      <c r="J20" s="87"/>
      <c r="K20" s="83"/>
      <c r="L20" s="66"/>
    </row>
    <row r="21" ht="15.75" customHeight="1">
      <c r="A21" s="66"/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</row>
    <row r="22" ht="15.75" customHeight="1">
      <c r="A22" s="66"/>
      <c r="B22" s="66"/>
      <c r="C22" s="66"/>
      <c r="D22" s="66"/>
      <c r="E22" s="66"/>
      <c r="F22" s="67"/>
      <c r="G22" s="66"/>
      <c r="H22" s="66"/>
      <c r="I22" s="66"/>
      <c r="J22" s="66"/>
      <c r="K22" s="66"/>
      <c r="L22" s="66"/>
    </row>
    <row r="23" ht="15.75" customHeight="1">
      <c r="C23" s="66"/>
      <c r="D23" s="66"/>
      <c r="E23" s="66"/>
      <c r="F23" s="66" t="s">
        <v>80</v>
      </c>
      <c r="H23" s="66"/>
      <c r="I23" s="90"/>
      <c r="J23" s="90"/>
      <c r="K23" s="66"/>
      <c r="L23" s="66"/>
    </row>
    <row r="24" ht="15.75" customHeight="1">
      <c r="C24" s="66"/>
      <c r="D24" s="66"/>
      <c r="E24" s="66"/>
      <c r="F24" s="91" t="s">
        <v>81</v>
      </c>
      <c r="H24" s="66"/>
      <c r="I24" s="90"/>
      <c r="J24" s="90"/>
      <c r="K24" s="66"/>
      <c r="L24" s="66"/>
    </row>
    <row r="25" ht="15.75" customHeight="1">
      <c r="C25" s="66"/>
      <c r="D25" s="66"/>
      <c r="E25" s="66"/>
      <c r="F25" s="91" t="s">
        <v>82</v>
      </c>
      <c r="H25" s="66"/>
      <c r="I25" s="90"/>
      <c r="J25" s="90"/>
      <c r="K25" s="66"/>
      <c r="L25" s="66"/>
    </row>
    <row r="26" ht="15.75" customHeight="1">
      <c r="C26" s="66"/>
      <c r="D26" s="66"/>
      <c r="E26" s="66"/>
      <c r="F26" s="91" t="s">
        <v>83</v>
      </c>
      <c r="H26" s="66"/>
      <c r="I26" s="90"/>
      <c r="J26" s="90"/>
      <c r="K26" s="66"/>
      <c r="L26" s="66"/>
    </row>
    <row r="27" ht="15.75" customHeight="1">
      <c r="C27" s="66"/>
      <c r="D27" s="66"/>
      <c r="E27" s="66"/>
      <c r="F27" s="66"/>
      <c r="G27" s="66"/>
      <c r="H27" s="66"/>
      <c r="I27" s="66"/>
      <c r="J27" s="66"/>
      <c r="K27" s="66"/>
      <c r="L27" s="66"/>
    </row>
    <row r="28" ht="15.75" customHeight="1">
      <c r="C28" s="66"/>
      <c r="D28" s="66"/>
      <c r="E28" s="66"/>
      <c r="F28" s="66"/>
      <c r="G28" s="66"/>
      <c r="H28" s="66"/>
      <c r="I28" s="66"/>
      <c r="J28" s="66"/>
      <c r="K28" s="66"/>
      <c r="L28" s="66"/>
    </row>
    <row r="29" ht="15.75" customHeight="1">
      <c r="C29" s="66"/>
      <c r="D29" s="66"/>
      <c r="E29" s="66"/>
      <c r="F29" s="66"/>
      <c r="G29" s="66"/>
      <c r="H29" s="66"/>
      <c r="I29" s="66"/>
      <c r="J29" s="66"/>
      <c r="K29" s="66"/>
      <c r="L29" s="66"/>
    </row>
    <row r="30" ht="15.75" customHeight="1">
      <c r="A30" s="92">
        <v>1.0</v>
      </c>
      <c r="B30" s="93" t="s">
        <v>84</v>
      </c>
      <c r="C30" s="8"/>
      <c r="D30" s="8"/>
      <c r="E30" s="8"/>
      <c r="F30" s="9"/>
      <c r="G30" s="66"/>
      <c r="H30" s="66"/>
      <c r="I30" s="66"/>
      <c r="J30" s="66"/>
      <c r="K30" s="66"/>
      <c r="L30" s="66"/>
    </row>
    <row r="31" ht="15.75" customHeight="1">
      <c r="A31" s="94"/>
      <c r="B31" s="95" t="s">
        <v>85</v>
      </c>
      <c r="C31" s="8"/>
      <c r="D31" s="8"/>
      <c r="E31" s="8"/>
      <c r="F31" s="9"/>
      <c r="G31" s="66"/>
      <c r="H31" s="66"/>
      <c r="I31" s="66"/>
      <c r="J31" s="96"/>
      <c r="K31" s="66"/>
      <c r="L31" s="66"/>
    </row>
    <row r="32" ht="15.75" customHeight="1">
      <c r="A32" s="97"/>
      <c r="B32" s="95" t="s">
        <v>86</v>
      </c>
      <c r="C32" s="8"/>
      <c r="D32" s="8"/>
      <c r="E32" s="8"/>
      <c r="F32" s="9"/>
      <c r="G32" s="66"/>
      <c r="H32" s="66"/>
      <c r="I32" s="66"/>
      <c r="J32" s="66"/>
      <c r="K32" s="66"/>
      <c r="L32" s="66"/>
    </row>
    <row r="33" ht="15.75" customHeight="1">
      <c r="A33" s="59"/>
      <c r="B33" s="98"/>
      <c r="G33" s="66"/>
      <c r="H33" s="66"/>
      <c r="I33" s="66"/>
      <c r="J33" s="66"/>
      <c r="K33" s="66"/>
      <c r="L33" s="66"/>
    </row>
    <row r="34" ht="15.75" customHeight="1">
      <c r="B34" s="99"/>
      <c r="G34" s="66"/>
      <c r="H34" s="66"/>
      <c r="I34" s="66"/>
      <c r="J34" s="66"/>
      <c r="K34" s="66"/>
      <c r="L34" s="66"/>
    </row>
    <row r="35" ht="15.75" customHeight="1">
      <c r="B35" s="99"/>
      <c r="G35" s="66"/>
      <c r="H35" s="66"/>
      <c r="I35" s="66"/>
      <c r="J35" s="66"/>
      <c r="K35" s="66"/>
      <c r="L35" s="66"/>
    </row>
    <row r="36" ht="18.75" customHeight="1">
      <c r="A36" s="66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30:A32"/>
    <mergeCell ref="B30:F30"/>
    <mergeCell ref="B31:F31"/>
    <mergeCell ref="B32:F32"/>
    <mergeCell ref="A33:A35"/>
    <mergeCell ref="B33:F33"/>
    <mergeCell ref="B34:F34"/>
    <mergeCell ref="B35:F35"/>
  </mergeCells>
  <conditionalFormatting sqref="H4:H14">
    <cfRule type="containsText" dxfId="5" priority="1" operator="containsText" text="lost">
      <formula>NOT(ISERROR(SEARCH(("lost"),(H4))))</formula>
    </cfRule>
  </conditionalFormatting>
  <dataValidations>
    <dataValidation type="list" allowBlank="1" showDropDown="1" sqref="B7">
      <formula1>$G$4:$G$14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2" width="21.63"/>
    <col customWidth="1" min="3" max="3" width="18.13"/>
  </cols>
  <sheetData>
    <row r="1"/>
    <row r="2"/>
    <row r="3"/>
    <row r="4"/>
    <row r="5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2" width="15.63"/>
    <col customWidth="1" min="3" max="3" width="18.5"/>
    <col customWidth="1" min="4" max="6" width="15.63"/>
    <col customWidth="1" min="7" max="12" width="43.5"/>
    <col customWidth="1" min="13" max="26" width="12.5"/>
  </cols>
  <sheetData>
    <row r="1" ht="15.75" customHeight="1">
      <c r="A1" s="102"/>
      <c r="C1" s="102"/>
      <c r="D1" s="38"/>
      <c r="E1" s="38"/>
      <c r="F1" s="103"/>
      <c r="G1" s="104"/>
      <c r="H1" s="104"/>
      <c r="I1" s="104"/>
      <c r="J1" s="104"/>
      <c r="K1" s="104"/>
      <c r="L1" s="104"/>
    </row>
    <row r="2" ht="15.75" customHeight="1">
      <c r="A2" s="38"/>
      <c r="B2" s="25" t="s">
        <v>66</v>
      </c>
      <c r="C2" s="25" t="s">
        <v>69</v>
      </c>
      <c r="D2" s="25" t="s">
        <v>23</v>
      </c>
      <c r="E2" s="102"/>
      <c r="F2" s="105"/>
      <c r="G2" s="104"/>
      <c r="H2" s="104"/>
      <c r="I2" s="104"/>
      <c r="J2" s="104"/>
      <c r="K2" s="104"/>
      <c r="L2" s="104"/>
    </row>
    <row r="3" ht="15.75" customHeight="1">
      <c r="A3" s="38"/>
      <c r="B3" s="106"/>
      <c r="C3" s="107">
        <f>VLOOKUP(B3,'Worksheet 2'!G:J,4,false)</f>
        <v>21600</v>
      </c>
      <c r="D3" s="108" t="str">
        <f>VLOOKUP(B3,'Worksheet 2'!G:H,2,false)</f>
        <v>Won</v>
      </c>
      <c r="F3" s="46"/>
      <c r="G3" s="104"/>
      <c r="H3" s="104"/>
      <c r="I3" s="104"/>
      <c r="J3" s="104"/>
      <c r="K3" s="104"/>
      <c r="L3" s="104"/>
    </row>
    <row r="4" ht="15.75" customHeight="1">
      <c r="A4" s="38"/>
      <c r="B4" s="106"/>
      <c r="C4" s="109"/>
      <c r="D4" s="108"/>
      <c r="F4" s="46"/>
      <c r="H4" s="104"/>
      <c r="I4" s="104"/>
      <c r="J4" s="104"/>
      <c r="K4" s="104"/>
      <c r="L4" s="104"/>
    </row>
    <row r="5" ht="15.75" customHeight="1">
      <c r="A5" s="38"/>
      <c r="B5" s="106"/>
      <c r="C5" s="107"/>
      <c r="D5" s="108"/>
      <c r="F5" s="39"/>
      <c r="H5" s="104"/>
      <c r="I5" s="104"/>
      <c r="J5" s="104"/>
      <c r="K5" s="104"/>
      <c r="L5" s="104"/>
    </row>
    <row r="6" ht="15.75" customHeight="1">
      <c r="A6" s="38"/>
      <c r="B6" s="106"/>
      <c r="C6" s="107"/>
      <c r="D6" s="108"/>
      <c r="F6" s="39"/>
      <c r="H6" s="104"/>
      <c r="I6" s="104"/>
      <c r="J6" s="104"/>
      <c r="K6" s="104"/>
      <c r="L6" s="104"/>
    </row>
    <row r="7" ht="15.75" customHeight="1">
      <c r="A7" s="38"/>
      <c r="B7" s="106"/>
      <c r="C7" s="107"/>
      <c r="D7" s="108"/>
      <c r="F7" s="39"/>
      <c r="H7" s="104"/>
      <c r="I7" s="104"/>
      <c r="J7" s="104"/>
      <c r="K7" s="104"/>
      <c r="L7" s="104"/>
    </row>
    <row r="8" ht="15.75" customHeight="1">
      <c r="A8" s="38"/>
      <c r="B8" s="106"/>
      <c r="C8" s="107"/>
      <c r="D8" s="108"/>
      <c r="F8" s="39"/>
      <c r="H8" s="104"/>
      <c r="I8" s="104"/>
      <c r="J8" s="104"/>
      <c r="K8" s="104"/>
      <c r="L8" s="104"/>
    </row>
    <row r="9" ht="15.75" customHeight="1">
      <c r="A9" s="38"/>
      <c r="B9" s="106"/>
      <c r="C9" s="107"/>
      <c r="D9" s="108"/>
      <c r="E9" s="110"/>
      <c r="F9" s="39"/>
      <c r="H9" s="104"/>
      <c r="I9" s="104"/>
      <c r="J9" s="104"/>
      <c r="K9" s="104"/>
      <c r="L9" s="104"/>
    </row>
    <row r="10" ht="15.75" customHeight="1">
      <c r="A10" s="38"/>
      <c r="B10" s="110"/>
      <c r="C10" s="110"/>
      <c r="D10" s="110"/>
      <c r="E10" s="111"/>
      <c r="F10" s="39"/>
      <c r="H10" s="104"/>
      <c r="I10" s="104"/>
      <c r="J10" s="104"/>
      <c r="K10" s="104"/>
      <c r="L10" s="104"/>
    </row>
    <row r="11" ht="15.75" customHeight="1">
      <c r="B11" s="112"/>
      <c r="C11" s="110"/>
      <c r="D11" s="113"/>
      <c r="E11" s="114"/>
      <c r="F11" s="39"/>
      <c r="H11" s="104"/>
      <c r="I11" s="104"/>
      <c r="J11" s="104"/>
      <c r="K11" s="104"/>
      <c r="L11" s="104"/>
    </row>
    <row r="12" ht="15.75" customHeight="1">
      <c r="A12" s="48">
        <v>1.0</v>
      </c>
      <c r="B12" s="49" t="s">
        <v>90</v>
      </c>
      <c r="C12" s="50"/>
      <c r="D12" s="50"/>
      <c r="E12" s="50"/>
      <c r="F12" s="51"/>
      <c r="H12" s="104"/>
      <c r="I12" s="104"/>
      <c r="J12" s="104"/>
      <c r="K12" s="104"/>
      <c r="L12" s="104"/>
    </row>
    <row r="13" ht="15.75" customHeight="1">
      <c r="A13" s="55"/>
      <c r="B13" s="115" t="s">
        <v>91</v>
      </c>
      <c r="C13" s="115"/>
      <c r="D13" s="115"/>
      <c r="E13" s="115"/>
      <c r="F13" s="115"/>
      <c r="H13" s="104"/>
      <c r="I13" s="104"/>
      <c r="J13" s="104"/>
      <c r="K13" s="104"/>
      <c r="L13" s="104"/>
    </row>
    <row r="14" ht="15.75" customHeight="1">
      <c r="A14" s="116">
        <v>2.0</v>
      </c>
      <c r="B14" s="49" t="s">
        <v>92</v>
      </c>
      <c r="C14" s="50"/>
      <c r="D14" s="50"/>
      <c r="E14" s="50"/>
      <c r="F14" s="51"/>
      <c r="H14" s="104"/>
      <c r="I14" s="104"/>
      <c r="J14" s="104"/>
      <c r="K14" s="104"/>
      <c r="L14" s="104"/>
    </row>
    <row r="15" ht="15.75" customHeight="1">
      <c r="A15" s="52"/>
      <c r="B15" s="53" t="s">
        <v>93</v>
      </c>
      <c r="C15" s="8"/>
      <c r="D15" s="8"/>
      <c r="E15" s="8"/>
      <c r="F15" s="9"/>
      <c r="H15" s="104"/>
      <c r="I15" s="117"/>
      <c r="J15" s="117"/>
      <c r="K15" s="117"/>
      <c r="L15" s="117"/>
    </row>
    <row r="16" ht="15.75" customHeight="1">
      <c r="A16" s="55"/>
      <c r="B16" s="53" t="s">
        <v>94</v>
      </c>
      <c r="C16" s="8"/>
      <c r="D16" s="8"/>
      <c r="E16" s="8"/>
      <c r="F16" s="9"/>
      <c r="G16" s="104"/>
      <c r="H16" s="104"/>
      <c r="I16" s="104"/>
      <c r="J16" s="104"/>
      <c r="K16" s="104"/>
      <c r="L16" s="104"/>
    </row>
    <row r="17" ht="15.75" customHeight="1">
      <c r="A17" s="48">
        <v>3.0</v>
      </c>
      <c r="B17" s="49" t="s">
        <v>95</v>
      </c>
      <c r="C17" s="50"/>
      <c r="D17" s="50"/>
      <c r="E17" s="50"/>
      <c r="F17" s="51"/>
      <c r="G17" s="104"/>
      <c r="H17" s="104"/>
      <c r="I17" s="104"/>
      <c r="J17" s="104"/>
      <c r="K17" s="104"/>
      <c r="L17" s="104"/>
    </row>
    <row r="18" ht="15.75" customHeight="1">
      <c r="A18" s="52"/>
      <c r="B18" s="53" t="s">
        <v>96</v>
      </c>
      <c r="C18" s="8"/>
      <c r="D18" s="8"/>
      <c r="E18" s="8"/>
      <c r="F18" s="9"/>
      <c r="G18" s="104"/>
      <c r="H18" s="104"/>
      <c r="I18" s="104"/>
      <c r="J18" s="104"/>
      <c r="K18" s="104"/>
      <c r="L18" s="104"/>
    </row>
    <row r="19" ht="15.75" customHeight="1">
      <c r="A19" s="55"/>
      <c r="B19" s="53" t="s">
        <v>94</v>
      </c>
      <c r="C19" s="8"/>
      <c r="D19" s="8"/>
      <c r="E19" s="8"/>
      <c r="F19" s="9"/>
      <c r="G19" s="104"/>
      <c r="H19" s="104"/>
      <c r="I19" s="104"/>
      <c r="J19" s="104"/>
      <c r="K19" s="104"/>
      <c r="L19" s="104"/>
    </row>
    <row r="20" ht="15.75" customHeight="1">
      <c r="A20" s="48">
        <v>4.0</v>
      </c>
      <c r="B20" s="118" t="s">
        <v>97</v>
      </c>
      <c r="C20" s="50"/>
      <c r="D20" s="50"/>
      <c r="E20" s="50"/>
      <c r="F20" s="51"/>
      <c r="G20" s="104"/>
      <c r="H20" s="104"/>
      <c r="I20" s="104"/>
      <c r="J20" s="104"/>
      <c r="K20" s="104"/>
      <c r="L20" s="104"/>
    </row>
    <row r="21" ht="15.75" customHeight="1">
      <c r="A21" s="52"/>
      <c r="B21" s="95" t="s">
        <v>98</v>
      </c>
      <c r="C21" s="8"/>
      <c r="D21" s="8"/>
      <c r="E21" s="8"/>
      <c r="F21" s="9"/>
      <c r="G21" s="104"/>
      <c r="H21" s="104"/>
      <c r="I21" s="104"/>
      <c r="J21" s="104"/>
      <c r="K21" s="104"/>
      <c r="L21" s="104"/>
    </row>
    <row r="22" ht="15.75" customHeight="1">
      <c r="A22" s="55"/>
      <c r="B22" s="95" t="s">
        <v>99</v>
      </c>
      <c r="C22" s="8"/>
      <c r="D22" s="8"/>
      <c r="E22" s="8"/>
      <c r="F22" s="9"/>
      <c r="G22" s="104"/>
      <c r="H22" s="104"/>
      <c r="I22" s="104"/>
      <c r="J22" s="104"/>
      <c r="K22" s="104"/>
      <c r="L22" s="104"/>
    </row>
    <row r="23" ht="18.75" customHeight="1">
      <c r="G23" s="104"/>
      <c r="H23" s="104"/>
      <c r="I23" s="104"/>
      <c r="J23" s="104"/>
      <c r="K23" s="104"/>
      <c r="L23" s="104"/>
    </row>
    <row r="24" ht="18.75" customHeight="1">
      <c r="G24" s="104"/>
      <c r="H24" s="117"/>
      <c r="I24" s="104"/>
      <c r="J24" s="104"/>
      <c r="K24" s="104"/>
      <c r="L24" s="104"/>
    </row>
    <row r="25" ht="18.75" customHeight="1">
      <c r="G25" s="104"/>
      <c r="H25" s="104"/>
      <c r="I25" s="104"/>
      <c r="J25" s="104"/>
      <c r="K25" s="104"/>
      <c r="L25" s="104"/>
    </row>
    <row r="26" ht="18.75" customHeight="1">
      <c r="G26" s="104"/>
      <c r="H26" s="104"/>
      <c r="I26" s="104"/>
      <c r="J26" s="104"/>
      <c r="K26" s="104"/>
      <c r="L26" s="104"/>
    </row>
    <row r="27" ht="18.75" customHeight="1">
      <c r="G27" s="104"/>
      <c r="H27" s="104"/>
      <c r="I27" s="104"/>
      <c r="J27" s="104"/>
      <c r="K27" s="104"/>
      <c r="L27" s="104"/>
    </row>
    <row r="28" ht="18.75" customHeight="1">
      <c r="G28" s="104"/>
      <c r="H28" s="104"/>
      <c r="I28" s="104"/>
      <c r="J28" s="104"/>
      <c r="K28" s="104"/>
      <c r="L28" s="104"/>
    </row>
    <row r="29" ht="18.75" customHeight="1">
      <c r="G29" s="104"/>
      <c r="H29" s="104"/>
      <c r="I29" s="104"/>
      <c r="J29" s="104"/>
      <c r="K29" s="104"/>
      <c r="L29" s="104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17:F17"/>
    <mergeCell ref="B18:F18"/>
    <mergeCell ref="A17:A19"/>
    <mergeCell ref="A20:A22"/>
    <mergeCell ref="B20:F20"/>
    <mergeCell ref="B21:F21"/>
    <mergeCell ref="B22:F22"/>
    <mergeCell ref="A12:A13"/>
    <mergeCell ref="B12:F12"/>
    <mergeCell ref="A14:A16"/>
    <mergeCell ref="B14:F14"/>
    <mergeCell ref="B15:F15"/>
    <mergeCell ref="B16:F16"/>
    <mergeCell ref="B19:F19"/>
  </mergeCells>
  <conditionalFormatting sqref="C24">
    <cfRule type="notContainsBlanks" dxfId="6" priority="1">
      <formula>LEN(TRIM(C24))&gt;0</formula>
    </cfRule>
  </conditionalFormatting>
  <conditionalFormatting sqref="B3:D9">
    <cfRule type="expression" dxfId="5" priority="2">
      <formula>IF(AND(INDIRECT("Worksheet2!J5") = B3, INDIRECT("Worksheet2!H5") = "Lost"), "Lost", IF(AND(INDIRECT("Worksheet2!J5") = B3, INDIRECT("Worksheet2!H5") = "Won"), "Won", ""))</formula>
    </cfRule>
  </conditionalFormatting>
  <dataValidations>
    <dataValidation type="list" allowBlank="1" showErrorMessage="1" sqref="B3:B9">
      <formula1>'Worksheet 2'!$G$4:$G$14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5" width="12.5"/>
    <col customWidth="1" min="6" max="6" width="13.63"/>
    <col customWidth="1" min="7" max="26" width="12.5"/>
  </cols>
  <sheetData>
    <row r="1" ht="15.75" customHeight="1">
      <c r="A1" s="84" t="s">
        <v>13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</row>
    <row r="2" ht="15.75" customHeight="1">
      <c r="A2" s="48">
        <v>1.0</v>
      </c>
      <c r="B2" s="49" t="s">
        <v>55</v>
      </c>
      <c r="C2" s="50"/>
      <c r="D2" s="50"/>
      <c r="E2" s="50"/>
      <c r="F2" s="51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</row>
    <row r="3" ht="15.75" customHeight="1">
      <c r="A3" s="55"/>
      <c r="B3" s="53" t="s">
        <v>100</v>
      </c>
      <c r="C3" s="8"/>
      <c r="D3" s="8"/>
      <c r="E3" s="8"/>
      <c r="F3" s="9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</row>
    <row r="4" ht="15.75" customHeight="1">
      <c r="A4" s="48">
        <v>2.0</v>
      </c>
      <c r="B4" s="49" t="s">
        <v>57</v>
      </c>
      <c r="C4" s="50"/>
      <c r="D4" s="50"/>
      <c r="E4" s="50"/>
      <c r="F4" s="51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</row>
    <row r="5" ht="15.75" customHeight="1">
      <c r="A5" s="52"/>
      <c r="B5" s="53" t="s">
        <v>101</v>
      </c>
      <c r="C5" s="8"/>
      <c r="D5" s="8"/>
      <c r="E5" s="8"/>
      <c r="F5" s="9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</row>
    <row r="6" ht="15.75" customHeight="1">
      <c r="A6" s="52"/>
      <c r="B6" s="53" t="s">
        <v>102</v>
      </c>
      <c r="C6" s="8"/>
      <c r="D6" s="8"/>
      <c r="E6" s="8"/>
      <c r="F6" s="9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</row>
    <row r="7" ht="15.75" customHeight="1">
      <c r="A7" s="55"/>
      <c r="B7" s="53" t="s">
        <v>103</v>
      </c>
      <c r="C7" s="8"/>
      <c r="D7" s="8"/>
      <c r="E7" s="8"/>
      <c r="F7" s="9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</row>
    <row r="8" ht="15.75" customHeight="1">
      <c r="A8" s="48">
        <v>3.0</v>
      </c>
      <c r="B8" s="49" t="s">
        <v>104</v>
      </c>
      <c r="C8" s="50"/>
      <c r="D8" s="50"/>
      <c r="E8" s="50"/>
      <c r="F8" s="51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</row>
    <row r="9" ht="15.75" customHeight="1">
      <c r="A9" s="52"/>
      <c r="B9" s="53" t="s">
        <v>105</v>
      </c>
      <c r="C9" s="8"/>
      <c r="D9" s="8"/>
      <c r="E9" s="8"/>
      <c r="F9" s="9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</row>
    <row r="10" ht="15.75" customHeight="1">
      <c r="A10" s="55"/>
      <c r="B10" s="53" t="s">
        <v>106</v>
      </c>
      <c r="C10" s="8"/>
      <c r="D10" s="8"/>
      <c r="E10" s="8"/>
      <c r="F10" s="9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</row>
    <row r="11" ht="15.75" customHeight="1">
      <c r="A11" s="48" t="s">
        <v>107</v>
      </c>
      <c r="B11" s="118" t="s">
        <v>108</v>
      </c>
      <c r="C11" s="50"/>
      <c r="D11" s="50"/>
      <c r="E11" s="50"/>
      <c r="F11" s="51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</row>
    <row r="12" ht="15.75" customHeight="1">
      <c r="A12" s="52"/>
      <c r="B12" s="95" t="s">
        <v>109</v>
      </c>
      <c r="C12" s="8"/>
      <c r="D12" s="8"/>
      <c r="E12" s="8"/>
      <c r="F12" s="9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</row>
    <row r="13" ht="15.75" customHeight="1">
      <c r="A13" s="52"/>
      <c r="B13" s="95" t="s">
        <v>110</v>
      </c>
      <c r="C13" s="8"/>
      <c r="D13" s="8"/>
      <c r="E13" s="8"/>
      <c r="F13" s="9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</row>
    <row r="14" ht="15.75" customHeight="1">
      <c r="A14" s="55"/>
      <c r="B14" s="95" t="s">
        <v>111</v>
      </c>
      <c r="C14" s="8"/>
      <c r="D14" s="8"/>
      <c r="E14" s="8"/>
      <c r="F14" s="9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</row>
    <row r="15" ht="15.75" customHeight="1">
      <c r="A15" s="84" t="s">
        <v>15</v>
      </c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</row>
    <row r="16" ht="15.75" customHeight="1">
      <c r="A16" s="48">
        <v>1.0</v>
      </c>
      <c r="B16" s="118" t="s">
        <v>112</v>
      </c>
      <c r="C16" s="50"/>
      <c r="D16" s="50"/>
      <c r="E16" s="50"/>
      <c r="F16" s="51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</row>
    <row r="17" ht="15.75" customHeight="1">
      <c r="A17" s="52"/>
      <c r="B17" s="95" t="s">
        <v>113</v>
      </c>
      <c r="C17" s="8"/>
      <c r="D17" s="8"/>
      <c r="E17" s="8"/>
      <c r="F17" s="9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</row>
    <row r="18" ht="15.75" customHeight="1">
      <c r="A18" s="55"/>
      <c r="B18" s="95" t="s">
        <v>114</v>
      </c>
      <c r="C18" s="8"/>
      <c r="D18" s="8"/>
      <c r="E18" s="8"/>
      <c r="F18" s="9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</row>
    <row r="19" ht="15.75" customHeight="1">
      <c r="A19" s="48">
        <v>2.0</v>
      </c>
      <c r="B19" s="118" t="s">
        <v>115</v>
      </c>
      <c r="C19" s="50"/>
      <c r="D19" s="50"/>
      <c r="E19" s="50"/>
      <c r="F19" s="51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</row>
    <row r="20" ht="15.75" customHeight="1">
      <c r="A20" s="52"/>
      <c r="B20" s="95" t="s">
        <v>116</v>
      </c>
      <c r="C20" s="8"/>
      <c r="D20" s="8"/>
      <c r="E20" s="8"/>
      <c r="F20" s="9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</row>
    <row r="21" ht="15.75" customHeight="1">
      <c r="A21" s="55"/>
      <c r="B21" s="95" t="s">
        <v>117</v>
      </c>
      <c r="C21" s="8"/>
      <c r="D21" s="8"/>
      <c r="E21" s="8"/>
      <c r="F21" s="9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</row>
    <row r="22" ht="15.75" customHeight="1">
      <c r="A22" s="48">
        <v>3.0</v>
      </c>
      <c r="B22" s="118" t="s">
        <v>118</v>
      </c>
      <c r="C22" s="50"/>
      <c r="D22" s="50"/>
      <c r="E22" s="50"/>
      <c r="F22" s="51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</row>
    <row r="23" ht="15.75" customHeight="1">
      <c r="A23" s="52"/>
      <c r="B23" s="95" t="s">
        <v>119</v>
      </c>
      <c r="C23" s="8"/>
      <c r="D23" s="8"/>
      <c r="E23" s="8"/>
      <c r="F23" s="9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</row>
    <row r="24" ht="15.75" customHeight="1">
      <c r="A24" s="55"/>
      <c r="B24" s="95" t="s">
        <v>120</v>
      </c>
      <c r="C24" s="8"/>
      <c r="D24" s="8"/>
      <c r="E24" s="8"/>
      <c r="F24" s="9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</row>
    <row r="25" ht="15.75" customHeight="1">
      <c r="A25" s="84" t="s">
        <v>17</v>
      </c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</row>
    <row r="26" ht="15.75" customHeight="1">
      <c r="A26" s="48">
        <v>1.0</v>
      </c>
      <c r="B26" s="118" t="s">
        <v>121</v>
      </c>
      <c r="C26" s="50"/>
      <c r="D26" s="50"/>
      <c r="E26" s="50"/>
      <c r="F26" s="51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</row>
    <row r="27" ht="15.75" customHeight="1">
      <c r="A27" s="52"/>
      <c r="B27" s="95" t="s">
        <v>122</v>
      </c>
      <c r="C27" s="8"/>
      <c r="D27" s="8"/>
      <c r="E27" s="8"/>
      <c r="F27" s="9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</row>
    <row r="28" ht="15.75" customHeight="1">
      <c r="A28" s="55"/>
      <c r="B28" s="95" t="s">
        <v>123</v>
      </c>
      <c r="C28" s="8"/>
      <c r="D28" s="8"/>
      <c r="E28" s="8"/>
      <c r="F28" s="9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</row>
    <row r="29" ht="15.75" customHeight="1">
      <c r="A29" s="48">
        <v>2.0</v>
      </c>
      <c r="B29" s="118" t="s">
        <v>124</v>
      </c>
      <c r="C29" s="50"/>
      <c r="D29" s="50"/>
      <c r="E29" s="50"/>
      <c r="F29" s="51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</row>
    <row r="30" ht="15.75" customHeight="1">
      <c r="A30" s="52"/>
      <c r="B30" s="95" t="s">
        <v>125</v>
      </c>
      <c r="C30" s="8"/>
      <c r="D30" s="8"/>
      <c r="E30" s="8"/>
      <c r="F30" s="9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</row>
    <row r="31" ht="15.75" customHeight="1">
      <c r="A31" s="55"/>
      <c r="B31" s="95" t="s">
        <v>126</v>
      </c>
      <c r="C31" s="8"/>
      <c r="D31" s="8"/>
      <c r="E31" s="8"/>
      <c r="F31" s="9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</row>
    <row r="32" ht="15.75" customHeight="1">
      <c r="A32" s="84"/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7">
    <mergeCell ref="A4:A7"/>
    <mergeCell ref="A8:A10"/>
    <mergeCell ref="A11:A14"/>
    <mergeCell ref="A16:A18"/>
    <mergeCell ref="A19:A21"/>
    <mergeCell ref="A22:A24"/>
    <mergeCell ref="A26:A28"/>
    <mergeCell ref="A29:A31"/>
    <mergeCell ref="A2:A3"/>
    <mergeCell ref="B2:F2"/>
    <mergeCell ref="B3:F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23:F23"/>
    <mergeCell ref="B24:F24"/>
    <mergeCell ref="B26:F26"/>
    <mergeCell ref="B27:F27"/>
    <mergeCell ref="B28:F28"/>
    <mergeCell ref="B29:F29"/>
    <mergeCell ref="B30:F30"/>
    <mergeCell ref="B31:F31"/>
    <mergeCell ref="B16:F16"/>
    <mergeCell ref="B17:F17"/>
    <mergeCell ref="B18:F18"/>
    <mergeCell ref="B19:F19"/>
    <mergeCell ref="B20:F20"/>
    <mergeCell ref="B21:F21"/>
    <mergeCell ref="B22:F22"/>
  </mergeCells>
  <printOptions/>
  <pageMargins bottom="0.75" footer="0.0" header="0.0" left="0.7" right="0.7" top="0.75"/>
  <pageSetup orientation="landscape"/>
  <drawing r:id="rId1"/>
</worksheet>
</file>